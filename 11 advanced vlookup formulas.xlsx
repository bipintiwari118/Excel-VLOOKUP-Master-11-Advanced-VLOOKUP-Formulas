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ny\Desktop\data analyst\excel\v-lookup\"/>
    </mc:Choice>
  </mc:AlternateContent>
  <xr:revisionPtr revIDLastSave="0" documentId="13_ncr:1_{5589809D-6E0B-4C48-8D7B-130CB1E8258B}" xr6:coauthVersionLast="47" xr6:coauthVersionMax="47" xr10:uidLastSave="{00000000-0000-0000-0000-000000000000}"/>
  <bookViews>
    <workbookView xWindow="-108" yWindow="-108" windowWidth="23256" windowHeight="12456" tabRatio="932" activeTab="10" xr2:uid="{773A24DF-5BAE-4B06-BA94-F535D7BE4A0F}"/>
  </bookViews>
  <sheets>
    <sheet name="Vlookup 1" sheetId="1" r:id="rId1"/>
    <sheet name="Vlookup 2" sheetId="2" r:id="rId2"/>
    <sheet name="Vlookup 3" sheetId="3" r:id="rId3"/>
    <sheet name="Vlookup 4" sheetId="4" r:id="rId4"/>
    <sheet name="Vlookup 5" sheetId="5" r:id="rId5"/>
    <sheet name="Vlookup 6" sheetId="6" r:id="rId6"/>
    <sheet name="Vlookup 7" sheetId="7" r:id="rId7"/>
    <sheet name="Vlookup 8" sheetId="8" r:id="rId8"/>
    <sheet name="Vlookup 9" sheetId="9" r:id="rId9"/>
    <sheet name="Vlookup 10" sheetId="10" r:id="rId10"/>
    <sheet name="Vlookup 11" sheetId="11" r:id="rId11"/>
    <sheet name="Sheet12" sheetId="12" r:id="rId12"/>
  </sheets>
  <definedNames>
    <definedName name="table1">'Vlookup 1'!$B$3:$E$18</definedName>
    <definedName name="table4">Table2[#All]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0" l="1" a="1"/>
  <c r="J4" i="10" s="1"/>
  <c r="J4" i="9" a="1"/>
  <c r="J4" i="9" s="1"/>
  <c r="C18" i="9" a="1"/>
  <c r="C18" i="9" s="1"/>
  <c r="H4" i="8"/>
  <c r="G8" i="8" a="1"/>
  <c r="G8" i="8" s="1"/>
  <c r="H4" i="7"/>
  <c r="G8" i="7"/>
  <c r="I4" i="6"/>
  <c r="A5" i="6"/>
  <c r="A6" i="6"/>
  <c r="A7" i="6"/>
  <c r="A8" i="6"/>
  <c r="A9" i="6"/>
  <c r="A10" i="6"/>
  <c r="A11" i="6"/>
  <c r="A12" i="6"/>
  <c r="A13" i="6"/>
  <c r="A14" i="6"/>
  <c r="A15" i="6"/>
  <c r="A4" i="6"/>
  <c r="H4" i="5"/>
  <c r="H5" i="5"/>
  <c r="I5" i="5"/>
  <c r="J5" i="5"/>
  <c r="H6" i="5"/>
  <c r="I6" i="5"/>
  <c r="J6" i="5"/>
  <c r="H7" i="5"/>
  <c r="I7" i="5"/>
  <c r="J7" i="5"/>
  <c r="I4" i="5"/>
  <c r="J4" i="5"/>
  <c r="H4" i="4"/>
  <c r="I4" i="3"/>
  <c r="J4" i="3"/>
  <c r="H4" i="3"/>
  <c r="H4" i="2"/>
  <c r="J12" i="1"/>
  <c r="I12" i="1"/>
  <c r="H12" i="1"/>
  <c r="H8" i="1"/>
  <c r="H4" i="1"/>
  <c r="G9" i="7"/>
  <c r="J7" i="11" l="1" a="1"/>
  <c r="J7" i="11" s="1"/>
  <c r="I4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<sst xmlns="http://schemas.openxmlformats.org/spreadsheetml/2006/main" count="514" uniqueCount="85">
  <si>
    <t>Product ID</t>
  </si>
  <si>
    <t>Product</t>
  </si>
  <si>
    <t>Mouse</t>
  </si>
  <si>
    <t>Monitor</t>
  </si>
  <si>
    <t>Printer</t>
  </si>
  <si>
    <t>Processor i3</t>
  </si>
  <si>
    <t>Processor i4</t>
  </si>
  <si>
    <t>Speaker</t>
  </si>
  <si>
    <t>RGB Light</t>
  </si>
  <si>
    <t>Keyboard</t>
  </si>
  <si>
    <t>Mouse 3.0</t>
  </si>
  <si>
    <t>HDD 256 GB</t>
  </si>
  <si>
    <t>RAM</t>
  </si>
  <si>
    <t>ROM</t>
  </si>
  <si>
    <t>Juicer</t>
  </si>
  <si>
    <t>Wireless Mouse</t>
  </si>
  <si>
    <t>Region</t>
  </si>
  <si>
    <t>Qty Sold</t>
  </si>
  <si>
    <t>East</t>
  </si>
  <si>
    <t>West</t>
  </si>
  <si>
    <t>South</t>
  </si>
  <si>
    <t>North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</si>
  <si>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</si>
  <si>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</si>
  <si>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</si>
  <si>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</si>
  <si>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</si>
  <si>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</si>
  <si>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</si>
  <si>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</si>
  <si>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</si>
  <si>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</si>
  <si>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</si>
  <si>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</si>
  <si>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</si>
  <si>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</si>
  <si>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</si>
  <si>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 xml:space="preserve"> Basic Vlookup Formula</t>
  </si>
  <si>
    <t xml:space="preserve"> Vlookup + Iferror - Removing #N/A Error</t>
  </si>
  <si>
    <t xml:space="preserve"> Vlookup + Columns Magic</t>
  </si>
  <si>
    <t>Abc</t>
  </si>
  <si>
    <t xml:space="preserve"> Dynamic Vlookup - Auto Updated Vlookup Formula With DROPDOWN List</t>
  </si>
  <si>
    <t xml:space="preserve"> Vlookup To Extract Multiple Records</t>
  </si>
  <si>
    <t xml:space="preserve"> Vlookup With Multiple Criteria ( Multiple Lookup Values )</t>
  </si>
  <si>
    <t xml:space="preserve"> Vlookup + Match Formula</t>
  </si>
  <si>
    <t>product</t>
  </si>
  <si>
    <t xml:space="preserve"> Vlookup + Choose Formula - Reverse Vlookup</t>
  </si>
  <si>
    <t>HSN Code</t>
  </si>
  <si>
    <t>EP0101</t>
  </si>
  <si>
    <t>EP0102</t>
  </si>
  <si>
    <t>EP0103</t>
  </si>
  <si>
    <t>EP0104</t>
  </si>
  <si>
    <t>EP0105</t>
  </si>
  <si>
    <t>EP0106</t>
  </si>
  <si>
    <t>EP0107</t>
  </si>
  <si>
    <t>EP0108</t>
  </si>
  <si>
    <t>EP0109</t>
  </si>
  <si>
    <t>EP0110</t>
  </si>
  <si>
    <t>EP0111</t>
  </si>
  <si>
    <t>EP0112</t>
  </si>
  <si>
    <t xml:space="preserve"> Vlookup + Sum Magic</t>
  </si>
  <si>
    <t>Jan</t>
  </si>
  <si>
    <t>Feb</t>
  </si>
  <si>
    <t>Mar</t>
  </si>
  <si>
    <t>Apr</t>
  </si>
  <si>
    <t>Total Sale</t>
  </si>
  <si>
    <t xml:space="preserve"> Vlookup Hack</t>
  </si>
  <si>
    <t xml:space="preserve"> Vlookup + Trim Formula</t>
  </si>
  <si>
    <t>Monitor 2</t>
  </si>
  <si>
    <t>Vlookup Basic</t>
  </si>
  <si>
    <t>Dynamic Vlookup</t>
  </si>
  <si>
    <t>Vlookup + Match</t>
  </si>
  <si>
    <t>Vlookup + Choose</t>
  </si>
  <si>
    <t>Vlookup Hack</t>
  </si>
  <si>
    <t>Vlookup + Sum</t>
  </si>
  <si>
    <t>Vlookup + Trim</t>
  </si>
  <si>
    <t>Vlookup + Iferror</t>
  </si>
  <si>
    <t>Vlookup + Columns</t>
  </si>
  <si>
    <t>Helper</t>
  </si>
  <si>
    <t>Vlookup Multiple Records</t>
  </si>
  <si>
    <t>Vlookup Multiple Criteria</t>
  </si>
  <si>
    <t>Free Training File</t>
  </si>
  <si>
    <t>P122</t>
  </si>
  <si>
    <t>CDE</t>
  </si>
  <si>
    <t>choose function make new table where we add own column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</si>
</sst>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4"/>
      <color theme="6" tint="-0.249977111117893"/>
      <name val="Aptos Narrow"/>
      <family val="2"/>
      <scheme val="minor"/>
    </font>
    <font>
      <b/>
      <sz val="14"/>
      <color theme="6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theme="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2" fillId="4" borderId="2" xfId="0" applyFont="1" applyFill="1" applyBorder="1"/>
    <xf numFmtId="0" fontId="1" fillId="0" borderId="0" xfId="0" applyFont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3" xfId="0" applyBorder="1"/>
    <xf numFmtId="0" fontId="0" fillId="0" borderId="2" xfId="0" quotePrefix="1" applyBorder="1"/>
    <xf numFmtId="0" fontId="4" fillId="4" borderId="5" xfId="0" applyFont="1" applyFill="1" applyBorder="1"/>
    <xf numFmtId="0" fontId="4" fillId="4" borderId="4" xfId="0" applyFont="1" applyFill="1" applyBorder="1"/>
    <xf numFmtId="0" fontId="0" fillId="3" borderId="5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1" xfId="0" applyFill="1" applyBorder="1"/>
    <xf numFmtId="0" fontId="0" fillId="6" borderId="2" xfId="0" quotePrefix="1" applyFill="1" applyBorder="1"/>
    <xf numFmtId="0" fontId="0" fillId="6" borderId="2" xfId="0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4" fillId="4" borderId="2" xfId="0" applyFont="1" applyFill="1" applyBorder="1"/>
    <xf numFmtId="0" fontId="4" fillId="4" borderId="6" xfId="0" applyFont="1" applyFill="1" applyBorder="1"/>
    <xf numFmtId="0" fontId="0" fillId="3" borderId="7" xfId="0" applyFill="1" applyBorder="1"/>
    <xf numFmtId="0" fontId="4" fillId="4" borderId="0" xfId="0" applyFont="1" applyFill="1"/>
    <xf numFmtId="0" fontId="5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7" fillId="9" borderId="0" xfId="0" applyFont="1" applyFill="1"/>
    <xf numFmtId="0" fontId="0" fillId="3" borderId="7" xfId="0" applyFont="1" applyFill="1" applyBorder="1"/>
    <xf numFmtId="0" fontId="0" fillId="3" borderId="5" xfId="0" applyFont="1" applyFill="1" applyBorder="1"/>
    <xf numFmtId="0" fontId="4" fillId="4" borderId="0" xfId="0" applyFont="1" applyFill="1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ptos Narrow"/>
        <family val="2"/>
        <scheme val="minor"/>
      </font>
      <fill>
        <patternFill patternType="solid">
          <fgColor theme="4"/>
          <bgColor rgb="FFFFFF0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ptos Narrow"/>
        <family val="2"/>
        <scheme val="minor"/>
      </font>
      <fill>
        <patternFill patternType="solid">
          <fgColor theme="4"/>
          <bgColor rgb="FFFFFF0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ptos Narrow"/>
        <family val="2"/>
        <scheme val="minor"/>
      </font>
      <fill>
        <patternFill patternType="solid">
          <fgColor theme="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3F7A43-FF8B-48E6-B007-1786FE0FDF3E}" name="Table2" displayName="Table2" ref="B3:E17" totalsRowShown="0" headerRowDxfId="20" dataDxfId="19" tableBorderDxfId="18">
  <autoFilter ref="B3:E17" xr:uid="{C73F7A43-FF8B-48E6-B007-1786FE0FDF3E}"/>
  <tableColumns count="4">
    <tableColumn id="1" xr3:uid="{39FE527E-DDB6-4B3F-ABBE-AE4B91181818}" name="Product ID" dataDxfId="17"/>
    <tableColumn id="2" xr3:uid="{C2F4987C-923F-4D47-BAD1-891189EC8D31}" name="Product" dataDxfId="16"/>
    <tableColumn id="3" xr3:uid="{C7FDB22E-3E56-486A-AA8D-8C5D3947A500}" name="Region" dataDxfId="15"/>
    <tableColumn id="4" xr3:uid="{00A8E9F9-DA26-42A0-A3AC-6FB0C8E39CCC}" name="Qty Sol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9AAE9-A72E-46BE-AF75-4FB06148A268}" name="Table3" displayName="Table3" ref="B3:E15" totalsRowShown="0" headerRowDxfId="7" dataDxfId="8" tableBorderDxfId="13">
  <autoFilter ref="B3:E15" xr:uid="{3009AAE9-A72E-46BE-AF75-4FB06148A268}"/>
  <tableColumns count="4">
    <tableColumn id="1" xr3:uid="{0E9EE454-BA88-43A8-864C-9BDF1D60F0A3}" name="Product ID" dataDxfId="12"/>
    <tableColumn id="2" xr3:uid="{6CBB8BC4-4921-47BB-9F2D-FFC4126208DA}" name="Product" dataDxfId="11"/>
    <tableColumn id="3" xr3:uid="{E4399E8D-15D8-4C36-957C-89C647CDD904}" name="Region" dataDxfId="10"/>
    <tableColumn id="4" xr3:uid="{2CDAB7AE-3108-4F1B-BC63-0A13AF94C4C3}" name="Qty Sol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50518-D2A2-4541-B327-B283990DD666}" name="Table5" displayName="Table5" ref="A3:E15" totalsRowShown="0" headerRowDxfId="0" dataDxfId="1" tableBorderDxfId="6">
  <autoFilter ref="A3:E15" xr:uid="{0CC50518-D2A2-4541-B327-B283990DD666}"/>
  <tableColumns count="5">
    <tableColumn id="1" xr3:uid="{945671D0-8806-40AF-8A42-E8181B5A931B}" name="Helper">
      <calculatedColumnFormula>B4&amp;C4</calculatedColumnFormula>
    </tableColumn>
    <tableColumn id="2" xr3:uid="{6FF9990A-A69E-4603-80C8-40EF9E24AC9E}" name="Product ID" dataDxfId="5"/>
    <tableColumn id="3" xr3:uid="{B22FFE35-7973-431F-91B4-C271D9EB0BEC}" name="Product" dataDxfId="4"/>
    <tableColumn id="4" xr3:uid="{8B193E6E-D55B-49BB-8A52-8C1E68F10797}" name="Region" dataDxfId="3"/>
    <tableColumn id="5" xr3:uid="{930D5E2C-72D1-40F7-9AFC-453E443F853B}" name="Qty Sol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8C61-4C89-4D02-945E-860FACDF0322}">
  <dimension ref="A1:J18"/>
  <sheetViews>
    <sheetView zoomScale="130" zoomScaleNormal="130" workbookViewId="0">
      <selection activeCell="G13" sqref="G13"/>
    </sheetView>
  </sheetViews>
  <sheetFormatPr defaultRowHeight="18" x14ac:dyDescent="0.35"/>
  <cols>
    <col min="1" max="1" width="4.5" customWidth="1"/>
    <col min="2" max="2" width="10.9140625" customWidth="1"/>
    <col min="3" max="3" width="13.4140625" customWidth="1"/>
    <col min="4" max="5" width="9.25" customWidth="1"/>
    <col min="6" max="6" width="7.6640625" customWidth="1"/>
    <col min="7" max="7" width="11.08203125" customWidth="1"/>
    <col min="8" max="8" width="12.25" customWidth="1"/>
  </cols>
  <sheetData>
    <row r="1" spans="1:10" s="7" customFormat="1" ht="18.600000000000001" thickBot="1" x14ac:dyDescent="0.4">
      <c r="A1" s="6">
        <v>1</v>
      </c>
      <c r="B1" s="7" t="s">
        <v>37</v>
      </c>
    </row>
    <row r="2" spans="1:10" x14ac:dyDescent="0.35">
      <c r="A2" s="5"/>
    </row>
    <row r="3" spans="1:10" x14ac:dyDescent="0.35">
      <c r="B3" s="4" t="s">
        <v>0</v>
      </c>
      <c r="C3" s="4" t="s">
        <v>1</v>
      </c>
      <c r="D3" s="4" t="s">
        <v>16</v>
      </c>
      <c r="E3" s="4" t="s">
        <v>17</v>
      </c>
      <c r="G3" s="4" t="s">
        <v>0</v>
      </c>
      <c r="H3" s="4" t="s">
        <v>1</v>
      </c>
    </row>
    <row r="4" spans="1:10" x14ac:dyDescent="0.35">
      <c r="B4" s="1" t="s">
        <v>22</v>
      </c>
      <c r="C4" s="2" t="s">
        <v>2</v>
      </c>
      <c r="D4" s="2" t="s">
        <v>18</v>
      </c>
      <c r="E4" s="1">
        <v>100</v>
      </c>
      <c r="G4" s="1" t="s">
        <v>24</v>
      </c>
      <c r="H4" s="1" t="str">
        <f>VLOOKUP(G4,table1,2,1)</f>
        <v>Printer</v>
      </c>
    </row>
    <row r="5" spans="1:10" x14ac:dyDescent="0.35">
      <c r="B5" s="1" t="s">
        <v>23</v>
      </c>
      <c r="C5" s="3" t="s">
        <v>3</v>
      </c>
      <c r="D5" s="3" t="s">
        <v>19</v>
      </c>
      <c r="E5" s="1">
        <v>230</v>
      </c>
    </row>
    <row r="6" spans="1:10" x14ac:dyDescent="0.35">
      <c r="B6" s="1" t="s">
        <v>24</v>
      </c>
      <c r="C6" s="2" t="s">
        <v>4</v>
      </c>
      <c r="D6" s="2" t="s">
        <v>20</v>
      </c>
      <c r="E6" s="1">
        <v>120</v>
      </c>
    </row>
    <row r="7" spans="1:10" x14ac:dyDescent="0.35">
      <c r="B7" s="1" t="s">
        <v>25</v>
      </c>
      <c r="C7" s="3" t="s">
        <v>5</v>
      </c>
      <c r="D7" s="3" t="s">
        <v>21</v>
      </c>
      <c r="E7" s="1">
        <v>144</v>
      </c>
      <c r="G7" s="4" t="s">
        <v>1</v>
      </c>
      <c r="H7" s="4" t="s">
        <v>17</v>
      </c>
    </row>
    <row r="8" spans="1:10" x14ac:dyDescent="0.35">
      <c r="B8" s="1" t="s">
        <v>26</v>
      </c>
      <c r="C8" s="2" t="s">
        <v>6</v>
      </c>
      <c r="D8" s="2" t="s">
        <v>18</v>
      </c>
      <c r="E8" s="1">
        <v>50</v>
      </c>
      <c r="G8" s="2" t="s">
        <v>4</v>
      </c>
      <c r="H8" s="1">
        <f>VLOOKUP(G8,C3:E18,3,1)</f>
        <v>120</v>
      </c>
    </row>
    <row r="9" spans="1:10" x14ac:dyDescent="0.35">
      <c r="B9" s="1" t="s">
        <v>27</v>
      </c>
      <c r="C9" s="3" t="s">
        <v>7</v>
      </c>
      <c r="D9" s="3" t="s">
        <v>19</v>
      </c>
      <c r="E9" s="1">
        <v>340</v>
      </c>
    </row>
    <row r="10" spans="1:10" x14ac:dyDescent="0.35">
      <c r="B10" s="1" t="s">
        <v>28</v>
      </c>
      <c r="C10" s="2" t="s">
        <v>8</v>
      </c>
      <c r="D10" s="2" t="s">
        <v>20</v>
      </c>
      <c r="E10" s="1">
        <v>210</v>
      </c>
    </row>
    <row r="11" spans="1:10" x14ac:dyDescent="0.35">
      <c r="B11" s="1" t="s">
        <v>29</v>
      </c>
      <c r="C11" s="3" t="s">
        <v>3</v>
      </c>
      <c r="D11" s="3" t="s">
        <v>21</v>
      </c>
      <c r="E11" s="1">
        <v>170</v>
      </c>
      <c r="G11" s="4" t="s">
        <v>0</v>
      </c>
      <c r="H11" s="4" t="s">
        <v>1</v>
      </c>
      <c r="I11" s="4" t="s">
        <v>16</v>
      </c>
      <c r="J11" s="4" t="s">
        <v>17</v>
      </c>
    </row>
    <row r="12" spans="1:10" x14ac:dyDescent="0.35">
      <c r="B12" s="1" t="s">
        <v>30</v>
      </c>
      <c r="C12" s="2" t="s">
        <v>9</v>
      </c>
      <c r="D12" s="2" t="s">
        <v>18</v>
      </c>
      <c r="E12" s="1">
        <v>55</v>
      </c>
      <c r="G12" s="1" t="s">
        <v>32</v>
      </c>
      <c r="H12" s="1" t="str">
        <f>VLOOKUP(G12,table1,2,1)</f>
        <v>Wireless Mouse</v>
      </c>
      <c r="I12" s="1" t="str">
        <f>VLOOKUP(G12,table1,3,1)</f>
        <v>South</v>
      </c>
      <c r="J12" s="1">
        <f>VLOOKUP(G12,table1,4,1)</f>
        <v>154</v>
      </c>
    </row>
    <row r="13" spans="1:10" x14ac:dyDescent="0.35">
      <c r="B13" s="1" t="s">
        <v>31</v>
      </c>
      <c r="C13" s="3" t="s">
        <v>10</v>
      </c>
      <c r="D13" s="3" t="s">
        <v>19</v>
      </c>
      <c r="E13" s="1">
        <v>77</v>
      </c>
    </row>
    <row r="14" spans="1:10" x14ac:dyDescent="0.35">
      <c r="B14" s="1" t="s">
        <v>32</v>
      </c>
      <c r="C14" s="3" t="s">
        <v>15</v>
      </c>
      <c r="D14" s="2" t="s">
        <v>20</v>
      </c>
      <c r="E14" s="1">
        <v>154</v>
      </c>
    </row>
    <row r="15" spans="1:10" x14ac:dyDescent="0.35">
      <c r="B15" s="1" t="s">
        <v>33</v>
      </c>
      <c r="C15" s="3" t="s">
        <v>11</v>
      </c>
      <c r="D15" s="3" t="s">
        <v>21</v>
      </c>
      <c r="E15" s="1">
        <v>230</v>
      </c>
    </row>
    <row r="16" spans="1:10" x14ac:dyDescent="0.35">
      <c r="B16" s="1" t="s">
        <v>34</v>
      </c>
      <c r="C16" s="2" t="s">
        <v>12</v>
      </c>
      <c r="D16" s="2" t="s">
        <v>18</v>
      </c>
      <c r="E16" s="1">
        <v>450</v>
      </c>
    </row>
    <row r="17" spans="2:5" x14ac:dyDescent="0.35">
      <c r="B17" s="1" t="s">
        <v>35</v>
      </c>
      <c r="C17" s="3" t="s">
        <v>13</v>
      </c>
      <c r="D17" s="3" t="s">
        <v>19</v>
      </c>
      <c r="E17" s="1">
        <v>230</v>
      </c>
    </row>
    <row r="18" spans="2:5" x14ac:dyDescent="0.35">
      <c r="B18" s="1" t="s">
        <v>36</v>
      </c>
      <c r="C18" s="2" t="s">
        <v>14</v>
      </c>
      <c r="D18" s="2" t="s">
        <v>20</v>
      </c>
      <c r="E18" s="1">
        <v>450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72EE-25F6-4251-BB64-2DA8BFBF941E}">
  <dimension ref="A1:H18"/>
  <sheetViews>
    <sheetView zoomScale="130" zoomScaleNormal="130" workbookViewId="0">
      <selection activeCell="G5" sqref="G5"/>
    </sheetView>
  </sheetViews>
  <sheetFormatPr defaultRowHeight="18" x14ac:dyDescent="0.35"/>
  <cols>
    <col min="1" max="1" width="4.5" customWidth="1"/>
    <col min="2" max="2" width="10.9140625" customWidth="1"/>
    <col min="3" max="3" width="13.33203125" customWidth="1"/>
    <col min="4" max="5" width="9.25" customWidth="1"/>
    <col min="6" max="6" width="7.6640625" customWidth="1"/>
    <col min="7" max="7" width="11.08203125" customWidth="1"/>
    <col min="8" max="8" width="12.25" customWidth="1"/>
  </cols>
  <sheetData>
    <row r="1" spans="1:8" s="7" customFormat="1" ht="18.600000000000001" thickBot="1" x14ac:dyDescent="0.4">
      <c r="A1" s="6">
        <v>2</v>
      </c>
      <c r="B1" s="7" t="s">
        <v>38</v>
      </c>
    </row>
    <row r="2" spans="1:8" x14ac:dyDescent="0.35">
      <c r="A2" s="5"/>
    </row>
    <row r="3" spans="1:8" x14ac:dyDescent="0.35">
      <c r="B3" s="4" t="s">
        <v>0</v>
      </c>
      <c r="C3" s="4" t="s">
        <v>1</v>
      </c>
      <c r="D3" s="4" t="s">
        <v>16</v>
      </c>
      <c r="E3" s="4" t="s">
        <v>17</v>
      </c>
      <c r="G3" s="4" t="s">
        <v>0</v>
      </c>
      <c r="H3" s="4" t="s">
        <v>1</v>
      </c>
    </row>
    <row r="4" spans="1:8" x14ac:dyDescent="0.35">
      <c r="B4" s="1" t="s">
        <v>22</v>
      </c>
      <c r="C4" s="2" t="s">
        <v>2</v>
      </c>
      <c r="D4" s="2" t="s">
        <v>18</v>
      </c>
      <c r="E4" s="1">
        <v>100</v>
      </c>
      <c r="G4" s="1" t="s">
        <v>82</v>
      </c>
      <c r="H4" s="1" t="str">
        <f>IFERROR((VLOOKUP(G4,B3:E18,2,0)),"Not Found")</f>
        <v>Not Found</v>
      </c>
    </row>
    <row r="5" spans="1:8" x14ac:dyDescent="0.35">
      <c r="B5" s="1" t="s">
        <v>23</v>
      </c>
      <c r="C5" s="3" t="s">
        <v>3</v>
      </c>
      <c r="D5" s="3" t="s">
        <v>19</v>
      </c>
      <c r="E5" s="1">
        <v>230</v>
      </c>
    </row>
    <row r="6" spans="1:8" x14ac:dyDescent="0.35">
      <c r="B6" s="1" t="s">
        <v>24</v>
      </c>
      <c r="C6" s="2" t="s">
        <v>4</v>
      </c>
      <c r="D6" s="2" t="s">
        <v>20</v>
      </c>
      <c r="E6" s="1">
        <v>120</v>
      </c>
    </row>
    <row r="7" spans="1:8" x14ac:dyDescent="0.35">
      <c r="B7" s="1" t="s">
        <v>25</v>
      </c>
      <c r="C7" s="3" t="s">
        <v>5</v>
      </c>
      <c r="D7" s="3" t="s">
        <v>21</v>
      </c>
      <c r="E7" s="1">
        <v>144</v>
      </c>
    </row>
    <row r="8" spans="1:8" x14ac:dyDescent="0.35">
      <c r="B8" s="1" t="s">
        <v>26</v>
      </c>
      <c r="C8" s="2" t="s">
        <v>6</v>
      </c>
      <c r="D8" s="2" t="s">
        <v>18</v>
      </c>
      <c r="E8" s="1">
        <v>50</v>
      </c>
    </row>
    <row r="9" spans="1:8" x14ac:dyDescent="0.35">
      <c r="B9" s="1" t="s">
        <v>27</v>
      </c>
      <c r="C9" s="3" t="s">
        <v>7</v>
      </c>
      <c r="D9" s="3" t="s">
        <v>19</v>
      </c>
      <c r="E9" s="1">
        <v>340</v>
      </c>
    </row>
    <row r="10" spans="1:8" x14ac:dyDescent="0.35">
      <c r="B10" s="1" t="s">
        <v>28</v>
      </c>
      <c r="C10" s="2" t="s">
        <v>8</v>
      </c>
      <c r="D10" s="2" t="s">
        <v>20</v>
      </c>
      <c r="E10" s="1">
        <v>210</v>
      </c>
    </row>
    <row r="11" spans="1:8" x14ac:dyDescent="0.35">
      <c r="B11" s="1" t="s">
        <v>29</v>
      </c>
      <c r="C11" s="3" t="s">
        <v>3</v>
      </c>
      <c r="D11" s="3" t="s">
        <v>21</v>
      </c>
      <c r="E11" s="1">
        <v>170</v>
      </c>
    </row>
    <row r="12" spans="1:8" x14ac:dyDescent="0.35">
      <c r="B12" s="1" t="s">
        <v>30</v>
      </c>
      <c r="C12" s="2" t="s">
        <v>9</v>
      </c>
      <c r="D12" s="2" t="s">
        <v>18</v>
      </c>
      <c r="E12" s="1">
        <v>55</v>
      </c>
    </row>
    <row r="13" spans="1:8" x14ac:dyDescent="0.35">
      <c r="B13" s="1" t="s">
        <v>31</v>
      </c>
      <c r="C13" s="3" t="s">
        <v>10</v>
      </c>
      <c r="D13" s="3" t="s">
        <v>19</v>
      </c>
      <c r="E13" s="1">
        <v>77</v>
      </c>
    </row>
    <row r="14" spans="1:8" x14ac:dyDescent="0.35">
      <c r="B14" s="1" t="s">
        <v>32</v>
      </c>
      <c r="C14" s="3" t="s">
        <v>15</v>
      </c>
      <c r="D14" s="2" t="s">
        <v>20</v>
      </c>
      <c r="E14" s="1">
        <v>154</v>
      </c>
    </row>
    <row r="15" spans="1:8" x14ac:dyDescent="0.35">
      <c r="B15" s="1" t="s">
        <v>33</v>
      </c>
      <c r="C15" s="3" t="s">
        <v>11</v>
      </c>
      <c r="D15" s="3" t="s">
        <v>21</v>
      </c>
      <c r="E15" s="1">
        <v>230</v>
      </c>
    </row>
    <row r="16" spans="1:8" x14ac:dyDescent="0.35">
      <c r="B16" s="1" t="s">
        <v>34</v>
      </c>
      <c r="C16" s="2" t="s">
        <v>12</v>
      </c>
      <c r="D16" s="2" t="s">
        <v>18</v>
      </c>
      <c r="E16" s="1">
        <v>450</v>
      </c>
    </row>
    <row r="17" spans="2:5" x14ac:dyDescent="0.35">
      <c r="B17" s="1" t="s">
        <v>35</v>
      </c>
      <c r="C17" s="3" t="s">
        <v>13</v>
      </c>
      <c r="D17" s="3" t="s">
        <v>19</v>
      </c>
      <c r="E17" s="1">
        <v>230</v>
      </c>
    </row>
    <row r="18" spans="2:5" x14ac:dyDescent="0.35">
      <c r="B18" s="1" t="s">
        <v>36</v>
      </c>
      <c r="C18" s="2" t="s">
        <v>14</v>
      </c>
      <c r="D18" s="2" t="s">
        <v>20</v>
      </c>
      <c r="E18" s="1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A3A0-DFC0-46B6-8492-E17F18750709}">
  <dimension ref="A1:J18"/>
  <sheetViews>
    <sheetView topLeftCell="A3" zoomScale="130" zoomScaleNormal="130" workbookViewId="0">
      <selection activeCell="G4" sqref="G4"/>
    </sheetView>
  </sheetViews>
  <sheetFormatPr defaultRowHeight="18" x14ac:dyDescent="0.35"/>
  <cols>
    <col min="1" max="1" width="4.5" customWidth="1"/>
    <col min="2" max="2" width="10.9140625" customWidth="1"/>
    <col min="3" max="3" width="12.25" customWidth="1"/>
    <col min="4" max="5" width="9.25" customWidth="1"/>
    <col min="6" max="6" width="7.6640625" customWidth="1"/>
    <col min="7" max="7" width="11.08203125" customWidth="1"/>
    <col min="8" max="8" width="12.25" customWidth="1"/>
  </cols>
  <sheetData>
    <row r="1" spans="1:10" s="7" customFormat="1" ht="18.600000000000001" thickBot="1" x14ac:dyDescent="0.4">
      <c r="A1" s="6">
        <v>3</v>
      </c>
      <c r="B1" s="7" t="s">
        <v>39</v>
      </c>
    </row>
    <row r="2" spans="1:10" x14ac:dyDescent="0.35">
      <c r="A2" s="5"/>
    </row>
    <row r="3" spans="1:10" x14ac:dyDescent="0.35">
      <c r="B3" s="4" t="s">
        <v>0</v>
      </c>
      <c r="C3" s="4" t="s">
        <v>1</v>
      </c>
      <c r="D3" s="4" t="s">
        <v>16</v>
      </c>
      <c r="E3" s="4" t="s">
        <v>17</v>
      </c>
      <c r="G3" s="4" t="s">
        <v>0</v>
      </c>
      <c r="H3" s="4" t="s">
        <v>1</v>
      </c>
      <c r="I3" s="4" t="s">
        <v>16</v>
      </c>
      <c r="J3" s="4" t="s">
        <v>17</v>
      </c>
    </row>
    <row r="4" spans="1:10" x14ac:dyDescent="0.35">
      <c r="B4" s="1" t="s">
        <v>22</v>
      </c>
      <c r="C4" s="2" t="s">
        <v>2</v>
      </c>
      <c r="D4" s="2" t="s">
        <v>18</v>
      </c>
      <c r="E4" s="1">
        <v>100</v>
      </c>
      <c r="G4" s="1" t="s">
        <v>29</v>
      </c>
      <c r="H4" s="8" t="str">
        <f>VLOOKUP($G$4,$B$3:$E$18,COLUMNS($G$5:H5),0)</f>
        <v>Monitor</v>
      </c>
      <c r="I4" s="8" t="str">
        <f>VLOOKUP($G$4,$B$3:$E$18,COLUMNS($G$5:I5),0)</f>
        <v>North</v>
      </c>
      <c r="J4" s="8">
        <f>VLOOKUP($G$4,$B$3:$E$18,COLUMNS($G$5:J5),0)</f>
        <v>170</v>
      </c>
    </row>
    <row r="5" spans="1:10" x14ac:dyDescent="0.35">
      <c r="B5" s="1" t="s">
        <v>23</v>
      </c>
      <c r="C5" s="3" t="s">
        <v>3</v>
      </c>
      <c r="D5" s="3" t="s">
        <v>19</v>
      </c>
      <c r="E5" s="1">
        <v>230</v>
      </c>
    </row>
    <row r="6" spans="1:10" x14ac:dyDescent="0.35">
      <c r="B6" s="1" t="s">
        <v>24</v>
      </c>
      <c r="C6" s="2" t="s">
        <v>4</v>
      </c>
      <c r="D6" s="2" t="s">
        <v>20</v>
      </c>
      <c r="E6" s="1">
        <v>120</v>
      </c>
    </row>
    <row r="7" spans="1:10" x14ac:dyDescent="0.35">
      <c r="B7" s="1" t="s">
        <v>25</v>
      </c>
      <c r="C7" s="3" t="s">
        <v>5</v>
      </c>
      <c r="D7" s="3" t="s">
        <v>21</v>
      </c>
      <c r="E7" s="1">
        <v>144</v>
      </c>
    </row>
    <row r="8" spans="1:10" x14ac:dyDescent="0.35">
      <c r="B8" s="1" t="s">
        <v>26</v>
      </c>
      <c r="C8" s="2" t="s">
        <v>6</v>
      </c>
      <c r="D8" s="2" t="s">
        <v>18</v>
      </c>
      <c r="E8" s="1">
        <v>50</v>
      </c>
    </row>
    <row r="9" spans="1:10" x14ac:dyDescent="0.35">
      <c r="B9" s="1" t="s">
        <v>27</v>
      </c>
      <c r="C9" s="3" t="s">
        <v>7</v>
      </c>
      <c r="D9" s="3" t="s">
        <v>19</v>
      </c>
      <c r="E9" s="1">
        <v>340</v>
      </c>
    </row>
    <row r="10" spans="1:10" x14ac:dyDescent="0.35">
      <c r="B10" s="1" t="s">
        <v>28</v>
      </c>
      <c r="C10" s="2" t="s">
        <v>8</v>
      </c>
      <c r="D10" s="2" t="s">
        <v>20</v>
      </c>
      <c r="E10" s="1">
        <v>210</v>
      </c>
    </row>
    <row r="11" spans="1:10" x14ac:dyDescent="0.35">
      <c r="B11" s="1" t="s">
        <v>29</v>
      </c>
      <c r="C11" s="3" t="s">
        <v>3</v>
      </c>
      <c r="D11" s="3" t="s">
        <v>21</v>
      </c>
      <c r="E11" s="1">
        <v>170</v>
      </c>
    </row>
    <row r="12" spans="1:10" x14ac:dyDescent="0.35">
      <c r="B12" s="1" t="s">
        <v>30</v>
      </c>
      <c r="C12" s="2" t="s">
        <v>9</v>
      </c>
      <c r="D12" s="2" t="s">
        <v>18</v>
      </c>
      <c r="E12" s="1">
        <v>55</v>
      </c>
    </row>
    <row r="13" spans="1:10" x14ac:dyDescent="0.35">
      <c r="B13" s="1" t="s">
        <v>31</v>
      </c>
      <c r="C13" s="3" t="s">
        <v>10</v>
      </c>
      <c r="D13" s="3" t="s">
        <v>19</v>
      </c>
      <c r="E13" s="1">
        <v>77</v>
      </c>
    </row>
    <row r="14" spans="1:10" x14ac:dyDescent="0.35">
      <c r="B14" s="1" t="s">
        <v>32</v>
      </c>
      <c r="C14" s="3" t="s">
        <v>15</v>
      </c>
      <c r="D14" s="2" t="s">
        <v>20</v>
      </c>
      <c r="E14" s="1">
        <v>154</v>
      </c>
    </row>
    <row r="15" spans="1:10" x14ac:dyDescent="0.35">
      <c r="B15" s="1" t="s">
        <v>33</v>
      </c>
      <c r="C15" s="3" t="s">
        <v>11</v>
      </c>
      <c r="D15" s="3" t="s">
        <v>21</v>
      </c>
      <c r="E15" s="1">
        <v>230</v>
      </c>
    </row>
    <row r="16" spans="1:10" x14ac:dyDescent="0.35">
      <c r="B16" s="1" t="s">
        <v>34</v>
      </c>
      <c r="C16" s="2" t="s">
        <v>12</v>
      </c>
      <c r="D16" s="2" t="s">
        <v>18</v>
      </c>
      <c r="E16" s="1">
        <v>450</v>
      </c>
    </row>
    <row r="17" spans="2:5" x14ac:dyDescent="0.35">
      <c r="B17" s="1" t="s">
        <v>35</v>
      </c>
      <c r="C17" s="3" t="s">
        <v>13</v>
      </c>
      <c r="D17" s="3" t="s">
        <v>19</v>
      </c>
      <c r="E17" s="1">
        <v>230</v>
      </c>
    </row>
    <row r="18" spans="2:5" x14ac:dyDescent="0.35">
      <c r="B18" s="1" t="s">
        <v>36</v>
      </c>
      <c r="C18" s="2" t="s">
        <v>14</v>
      </c>
      <c r="D18" s="2" t="s">
        <v>20</v>
      </c>
      <c r="E18" s="1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DC9F-12D4-4075-924F-1C8D98017C5E}">
  <dimension ref="A1:H17"/>
  <sheetViews>
    <sheetView topLeftCell="A2" zoomScale="130" zoomScaleNormal="130" workbookViewId="0">
      <selection activeCell="G8" sqref="G8"/>
    </sheetView>
  </sheetViews>
  <sheetFormatPr defaultRowHeight="18" x14ac:dyDescent="0.35"/>
  <cols>
    <col min="1" max="1" width="4.5" customWidth="1"/>
    <col min="2" max="2" width="10.9140625" customWidth="1"/>
    <col min="3" max="3" width="12.25" customWidth="1"/>
    <col min="4" max="5" width="9.25" customWidth="1"/>
    <col min="6" max="6" width="7.6640625" customWidth="1"/>
    <col min="7" max="7" width="11.08203125" customWidth="1"/>
    <col min="8" max="8" width="12.25" customWidth="1"/>
  </cols>
  <sheetData>
    <row r="1" spans="1:8" s="7" customFormat="1" ht="18.600000000000001" thickBot="1" x14ac:dyDescent="0.4">
      <c r="A1" s="6">
        <v>4</v>
      </c>
      <c r="B1" s="7" t="s">
        <v>41</v>
      </c>
    </row>
    <row r="2" spans="1:8" x14ac:dyDescent="0.35">
      <c r="A2" s="5"/>
    </row>
    <row r="3" spans="1:8" x14ac:dyDescent="0.35">
      <c r="B3" s="22" t="s">
        <v>0</v>
      </c>
      <c r="C3" s="20" t="s">
        <v>1</v>
      </c>
      <c r="D3" s="20" t="s">
        <v>16</v>
      </c>
      <c r="E3" s="20" t="s">
        <v>17</v>
      </c>
      <c r="G3" s="4" t="s">
        <v>0</v>
      </c>
      <c r="H3" s="10" t="s">
        <v>17</v>
      </c>
    </row>
    <row r="4" spans="1:8" x14ac:dyDescent="0.35">
      <c r="B4" s="21" t="s">
        <v>22</v>
      </c>
      <c r="C4" s="12" t="s">
        <v>2</v>
      </c>
      <c r="D4" s="12" t="s">
        <v>18</v>
      </c>
      <c r="E4" s="11">
        <v>100</v>
      </c>
      <c r="G4" s="1" t="s">
        <v>24</v>
      </c>
      <c r="H4" s="8">
        <f>VLOOKUP(G4,Table2[#All],4,0)</f>
        <v>120</v>
      </c>
    </row>
    <row r="5" spans="1:8" x14ac:dyDescent="0.35">
      <c r="B5" s="21" t="s">
        <v>23</v>
      </c>
      <c r="C5" s="11" t="s">
        <v>3</v>
      </c>
      <c r="D5" s="11" t="s">
        <v>19</v>
      </c>
      <c r="E5" s="11">
        <v>230</v>
      </c>
    </row>
    <row r="6" spans="1:8" x14ac:dyDescent="0.35">
      <c r="B6" s="21" t="s">
        <v>24</v>
      </c>
      <c r="C6" s="12" t="s">
        <v>4</v>
      </c>
      <c r="D6" s="12" t="s">
        <v>20</v>
      </c>
      <c r="E6" s="11">
        <v>120</v>
      </c>
    </row>
    <row r="7" spans="1:8" x14ac:dyDescent="0.35">
      <c r="B7" s="21" t="s">
        <v>25</v>
      </c>
      <c r="C7" s="11" t="s">
        <v>5</v>
      </c>
      <c r="D7" s="11" t="s">
        <v>21</v>
      </c>
      <c r="E7" s="11">
        <v>144</v>
      </c>
    </row>
    <row r="8" spans="1:8" x14ac:dyDescent="0.35">
      <c r="B8" s="21" t="s">
        <v>26</v>
      </c>
      <c r="C8" s="12" t="s">
        <v>6</v>
      </c>
      <c r="D8" s="12" t="s">
        <v>18</v>
      </c>
      <c r="E8" s="11">
        <v>50</v>
      </c>
    </row>
    <row r="9" spans="1:8" x14ac:dyDescent="0.35">
      <c r="B9" s="21" t="s">
        <v>27</v>
      </c>
      <c r="C9" s="11" t="s">
        <v>7</v>
      </c>
      <c r="D9" s="11" t="s">
        <v>19</v>
      </c>
      <c r="E9" s="11">
        <v>340</v>
      </c>
    </row>
    <row r="10" spans="1:8" x14ac:dyDescent="0.35">
      <c r="B10" s="21" t="s">
        <v>28</v>
      </c>
      <c r="C10" s="12" t="s">
        <v>8</v>
      </c>
      <c r="D10" s="12" t="s">
        <v>20</v>
      </c>
      <c r="E10" s="11">
        <v>210</v>
      </c>
    </row>
    <row r="11" spans="1:8" x14ac:dyDescent="0.35">
      <c r="B11" s="21" t="s">
        <v>29</v>
      </c>
      <c r="C11" s="11" t="s">
        <v>3</v>
      </c>
      <c r="D11" s="11" t="s">
        <v>21</v>
      </c>
      <c r="E11" s="11">
        <v>170</v>
      </c>
    </row>
    <row r="12" spans="1:8" x14ac:dyDescent="0.35">
      <c r="B12" s="21" t="s">
        <v>30</v>
      </c>
      <c r="C12" s="12" t="s">
        <v>9</v>
      </c>
      <c r="D12" s="12" t="s">
        <v>18</v>
      </c>
      <c r="E12" s="11">
        <v>55</v>
      </c>
    </row>
    <row r="13" spans="1:8" x14ac:dyDescent="0.35">
      <c r="B13" s="21" t="s">
        <v>31</v>
      </c>
      <c r="C13" s="11" t="s">
        <v>10</v>
      </c>
      <c r="D13" s="11" t="s">
        <v>19</v>
      </c>
      <c r="E13" s="11">
        <v>77</v>
      </c>
    </row>
    <row r="14" spans="1:8" x14ac:dyDescent="0.35">
      <c r="B14" s="21" t="s">
        <v>32</v>
      </c>
      <c r="C14" s="11" t="s">
        <v>15</v>
      </c>
      <c r="D14" s="12" t="s">
        <v>20</v>
      </c>
      <c r="E14" s="11">
        <v>154</v>
      </c>
    </row>
    <row r="15" spans="1:8" x14ac:dyDescent="0.35">
      <c r="B15" s="21" t="s">
        <v>33</v>
      </c>
      <c r="C15" s="11" t="s">
        <v>11</v>
      </c>
      <c r="D15" s="11" t="s">
        <v>21</v>
      </c>
      <c r="E15" s="11">
        <v>230</v>
      </c>
    </row>
    <row r="16" spans="1:8" x14ac:dyDescent="0.35">
      <c r="B16" s="21" t="s">
        <v>34</v>
      </c>
      <c r="C16" s="11" t="s">
        <v>40</v>
      </c>
      <c r="D16" s="11" t="s">
        <v>21</v>
      </c>
      <c r="E16" s="11">
        <v>234</v>
      </c>
    </row>
    <row r="17" spans="2:5" x14ac:dyDescent="0.35">
      <c r="B17" s="26" t="s">
        <v>35</v>
      </c>
      <c r="C17" s="27" t="s">
        <v>83</v>
      </c>
      <c r="D17" s="27" t="s">
        <v>20</v>
      </c>
      <c r="E17" s="27">
        <v>355</v>
      </c>
    </row>
  </sheetData>
  <dataValidations count="1">
    <dataValidation type="list" allowBlank="1" showInputMessage="1" showErrorMessage="1" sqref="G4 B4" xr:uid="{732987C4-B241-4802-9737-A8FA121E8E3B}">
      <formula1>$B$4:$B$17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C5B0-A58E-4772-BF83-9F2E83995410}">
  <dimension ref="A1:J15"/>
  <sheetViews>
    <sheetView zoomScale="130" zoomScaleNormal="130" workbookViewId="0">
      <selection activeCell="I9" sqref="I9"/>
    </sheetView>
  </sheetViews>
  <sheetFormatPr defaultRowHeight="18" x14ac:dyDescent="0.35"/>
  <cols>
    <col min="1" max="1" width="4.5" customWidth="1"/>
    <col min="2" max="2" width="10.9140625" customWidth="1"/>
    <col min="3" max="3" width="12.25" customWidth="1"/>
    <col min="4" max="5" width="9.25" customWidth="1"/>
    <col min="6" max="6" width="7.6640625" customWidth="1"/>
    <col min="7" max="7" width="11.08203125" customWidth="1"/>
    <col min="8" max="8" width="12.25" customWidth="1"/>
  </cols>
  <sheetData>
    <row r="1" spans="1:10" s="7" customFormat="1" ht="18.600000000000001" thickBot="1" x14ac:dyDescent="0.4">
      <c r="A1" s="6">
        <v>5</v>
      </c>
      <c r="B1" s="7" t="s">
        <v>42</v>
      </c>
    </row>
    <row r="2" spans="1:10" x14ac:dyDescent="0.35">
      <c r="A2" s="5"/>
    </row>
    <row r="3" spans="1:10" x14ac:dyDescent="0.35">
      <c r="B3" s="28" t="s">
        <v>0</v>
      </c>
      <c r="C3" s="20" t="s">
        <v>1</v>
      </c>
      <c r="D3" s="20" t="s">
        <v>16</v>
      </c>
      <c r="E3" s="20" t="s">
        <v>17</v>
      </c>
      <c r="G3" s="4" t="s">
        <v>0</v>
      </c>
      <c r="H3" s="4" t="s">
        <v>1</v>
      </c>
      <c r="I3" s="9" t="s">
        <v>16</v>
      </c>
      <c r="J3" s="10" t="s">
        <v>17</v>
      </c>
    </row>
    <row r="4" spans="1:10" x14ac:dyDescent="0.35">
      <c r="B4" s="21" t="s">
        <v>22</v>
      </c>
      <c r="C4" s="12" t="s">
        <v>2</v>
      </c>
      <c r="D4" s="12" t="s">
        <v>18</v>
      </c>
      <c r="E4" s="11">
        <v>100</v>
      </c>
      <c r="G4" s="11" t="s">
        <v>23</v>
      </c>
      <c r="H4" s="8" t="str">
        <f>VLOOKUP($G4,Table3[#All],COLUMNS($G$2:H2),0)</f>
        <v>Monitor</v>
      </c>
      <c r="I4" s="8" t="str">
        <f>VLOOKUP($G4,Table3[#All],COLUMNS($G$2:I2),0)</f>
        <v>West</v>
      </c>
      <c r="J4" s="8">
        <f>VLOOKUP($G4,Table3[#All],COLUMNS($G$2:J2),0)</f>
        <v>230</v>
      </c>
    </row>
    <row r="5" spans="1:10" x14ac:dyDescent="0.35">
      <c r="B5" s="21" t="s">
        <v>23</v>
      </c>
      <c r="C5" s="11" t="s">
        <v>3</v>
      </c>
      <c r="D5" s="11" t="s">
        <v>19</v>
      </c>
      <c r="E5" s="11">
        <v>230</v>
      </c>
      <c r="G5" s="11" t="s">
        <v>26</v>
      </c>
      <c r="H5" s="8" t="str">
        <f>VLOOKUP($G5,Table3[#All],COLUMNS($G$2:H3),0)</f>
        <v>Processor i4</v>
      </c>
      <c r="I5" s="8" t="str">
        <f>VLOOKUP($G5,Table3[#All],COLUMNS($G$2:I3),0)</f>
        <v>East</v>
      </c>
      <c r="J5" s="8">
        <f>VLOOKUP($G5,Table3[#All],COLUMNS($G$2:J3),0)</f>
        <v>50</v>
      </c>
    </row>
    <row r="6" spans="1:10" x14ac:dyDescent="0.35">
      <c r="B6" s="21" t="s">
        <v>24</v>
      </c>
      <c r="C6" s="12" t="s">
        <v>4</v>
      </c>
      <c r="D6" s="12" t="s">
        <v>20</v>
      </c>
      <c r="E6" s="11">
        <v>120</v>
      </c>
      <c r="G6" s="11" t="s">
        <v>27</v>
      </c>
      <c r="H6" s="8" t="str">
        <f>VLOOKUP($G6,Table3[#All],COLUMNS($G$2:H4),0)</f>
        <v>Speaker</v>
      </c>
      <c r="I6" s="8" t="str">
        <f>VLOOKUP($G6,Table3[#All],COLUMNS($G$2:I4),0)</f>
        <v>West</v>
      </c>
      <c r="J6" s="8">
        <f>VLOOKUP($G6,Table3[#All],COLUMNS($G$2:J4),0)</f>
        <v>340</v>
      </c>
    </row>
    <row r="7" spans="1:10" x14ac:dyDescent="0.35">
      <c r="B7" s="21" t="s">
        <v>25</v>
      </c>
      <c r="C7" s="11" t="s">
        <v>5</v>
      </c>
      <c r="D7" s="11" t="s">
        <v>21</v>
      </c>
      <c r="E7" s="11">
        <v>144</v>
      </c>
      <c r="G7" s="3" t="s">
        <v>30</v>
      </c>
      <c r="H7" s="8" t="str">
        <f>VLOOKUP($G7,Table3[#All],COLUMNS($G$2:H5),0)</f>
        <v>Keyboard</v>
      </c>
      <c r="I7" s="8" t="str">
        <f>VLOOKUP($G7,Table3[#All],COLUMNS($G$2:I5),0)</f>
        <v>East</v>
      </c>
      <c r="J7" s="8">
        <f>VLOOKUP($G7,Table3[#All],COLUMNS($G$2:J5),0)</f>
        <v>55</v>
      </c>
    </row>
    <row r="8" spans="1:10" x14ac:dyDescent="0.35">
      <c r="B8" s="21" t="s">
        <v>26</v>
      </c>
      <c r="C8" s="12" t="s">
        <v>6</v>
      </c>
      <c r="D8" s="12" t="s">
        <v>18</v>
      </c>
      <c r="E8" s="11">
        <v>50</v>
      </c>
    </row>
    <row r="9" spans="1:10" x14ac:dyDescent="0.35">
      <c r="B9" s="21" t="s">
        <v>27</v>
      </c>
      <c r="C9" s="11" t="s">
        <v>7</v>
      </c>
      <c r="D9" s="11" t="s">
        <v>19</v>
      </c>
      <c r="E9" s="11">
        <v>340</v>
      </c>
    </row>
    <row r="10" spans="1:10" x14ac:dyDescent="0.35">
      <c r="B10" s="21" t="s">
        <v>28</v>
      </c>
      <c r="C10" s="12" t="s">
        <v>8</v>
      </c>
      <c r="D10" s="12" t="s">
        <v>20</v>
      </c>
      <c r="E10" s="11">
        <v>210</v>
      </c>
    </row>
    <row r="11" spans="1:10" x14ac:dyDescent="0.35">
      <c r="B11" s="21" t="s">
        <v>29</v>
      </c>
      <c r="C11" s="11" t="s">
        <v>3</v>
      </c>
      <c r="D11" s="11" t="s">
        <v>21</v>
      </c>
      <c r="E11" s="11">
        <v>170</v>
      </c>
    </row>
    <row r="12" spans="1:10" x14ac:dyDescent="0.35">
      <c r="B12" s="21" t="s">
        <v>30</v>
      </c>
      <c r="C12" s="12" t="s">
        <v>9</v>
      </c>
      <c r="D12" s="12" t="s">
        <v>18</v>
      </c>
      <c r="E12" s="11">
        <v>55</v>
      </c>
    </row>
    <row r="13" spans="1:10" x14ac:dyDescent="0.35">
      <c r="B13" s="21" t="s">
        <v>31</v>
      </c>
      <c r="C13" s="11" t="s">
        <v>10</v>
      </c>
      <c r="D13" s="11" t="s">
        <v>19</v>
      </c>
      <c r="E13" s="11">
        <v>77</v>
      </c>
    </row>
    <row r="14" spans="1:10" x14ac:dyDescent="0.35">
      <c r="B14" s="21" t="s">
        <v>32</v>
      </c>
      <c r="C14" s="11" t="s">
        <v>15</v>
      </c>
      <c r="D14" s="12" t="s">
        <v>20</v>
      </c>
      <c r="E14" s="11">
        <v>154</v>
      </c>
    </row>
    <row r="15" spans="1:10" x14ac:dyDescent="0.35">
      <c r="B15" s="21" t="s">
        <v>33</v>
      </c>
      <c r="C15" s="11" t="s">
        <v>11</v>
      </c>
      <c r="D15" s="11" t="s">
        <v>21</v>
      </c>
      <c r="E15" s="11">
        <v>230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D1B5-F0ED-4CA2-8DAC-E5C8FA669D9A}">
  <dimension ref="A1:I15"/>
  <sheetViews>
    <sheetView zoomScale="130" zoomScaleNormal="130" workbookViewId="0">
      <selection activeCell="G10" sqref="G10"/>
    </sheetView>
  </sheetViews>
  <sheetFormatPr defaultRowHeight="18" x14ac:dyDescent="0.35"/>
  <cols>
    <col min="1" max="1" width="15.08203125" customWidth="1"/>
    <col min="2" max="2" width="10.9140625" customWidth="1"/>
    <col min="3" max="3" width="12.25" customWidth="1"/>
    <col min="4" max="5" width="9.25" customWidth="1"/>
    <col min="6" max="6" width="4.25" customWidth="1"/>
    <col min="7" max="7" width="11.08203125" customWidth="1"/>
    <col min="8" max="8" width="12.25" customWidth="1"/>
  </cols>
  <sheetData>
    <row r="1" spans="1:9" s="7" customFormat="1" ht="18.600000000000001" thickBot="1" x14ac:dyDescent="0.4">
      <c r="A1" s="6">
        <v>6</v>
      </c>
      <c r="B1" s="7" t="s">
        <v>43</v>
      </c>
    </row>
    <row r="2" spans="1:9" x14ac:dyDescent="0.35">
      <c r="A2" s="5"/>
    </row>
    <row r="3" spans="1:9" x14ac:dyDescent="0.35">
      <c r="A3" t="s">
        <v>78</v>
      </c>
      <c r="B3" s="9" t="s">
        <v>0</v>
      </c>
      <c r="C3" s="9" t="s">
        <v>1</v>
      </c>
      <c r="D3" s="9" t="s">
        <v>16</v>
      </c>
      <c r="E3" s="9" t="s">
        <v>17</v>
      </c>
      <c r="G3" s="17" t="s">
        <v>0</v>
      </c>
      <c r="H3" s="17" t="s">
        <v>1</v>
      </c>
      <c r="I3" s="10" t="s">
        <v>17</v>
      </c>
    </row>
    <row r="4" spans="1:9" x14ac:dyDescent="0.35">
      <c r="A4" t="str">
        <f>B4&amp;C4</f>
        <v>P01Mouse</v>
      </c>
      <c r="B4" s="11" t="s">
        <v>22</v>
      </c>
      <c r="C4" s="12" t="s">
        <v>2</v>
      </c>
      <c r="D4" s="12" t="s">
        <v>18</v>
      </c>
      <c r="E4" s="11">
        <v>100</v>
      </c>
      <c r="G4" s="16" t="s">
        <v>23</v>
      </c>
      <c r="H4" s="16" t="s">
        <v>3</v>
      </c>
      <c r="I4" s="8">
        <f>VLOOKUP(G4&amp;H4,Table5[#All],5,0)</f>
        <v>230</v>
      </c>
    </row>
    <row r="5" spans="1:9" x14ac:dyDescent="0.35">
      <c r="A5" t="str">
        <f t="shared" ref="A5:A15" si="0">B5&amp;C5</f>
        <v>P02Monitor</v>
      </c>
      <c r="B5" s="11" t="s">
        <v>23</v>
      </c>
      <c r="C5" s="11" t="s">
        <v>3</v>
      </c>
      <c r="D5" s="11" t="s">
        <v>19</v>
      </c>
      <c r="E5" s="11">
        <v>230</v>
      </c>
    </row>
    <row r="6" spans="1:9" x14ac:dyDescent="0.35">
      <c r="A6" t="str">
        <f t="shared" si="0"/>
        <v>P03Printer</v>
      </c>
      <c r="B6" s="11" t="s">
        <v>24</v>
      </c>
      <c r="C6" s="12" t="s">
        <v>4</v>
      </c>
      <c r="D6" s="12" t="s">
        <v>20</v>
      </c>
      <c r="E6" s="11">
        <v>120</v>
      </c>
    </row>
    <row r="7" spans="1:9" x14ac:dyDescent="0.35">
      <c r="A7" t="str">
        <f t="shared" si="0"/>
        <v>P04Processor i3</v>
      </c>
      <c r="B7" s="11" t="s">
        <v>25</v>
      </c>
      <c r="C7" s="11" t="s">
        <v>5</v>
      </c>
      <c r="D7" s="11" t="s">
        <v>21</v>
      </c>
      <c r="E7" s="11">
        <v>144</v>
      </c>
    </row>
    <row r="8" spans="1:9" x14ac:dyDescent="0.35">
      <c r="A8" t="str">
        <f t="shared" si="0"/>
        <v>P05Processor i4</v>
      </c>
      <c r="B8" s="11" t="s">
        <v>26</v>
      </c>
      <c r="C8" s="12" t="s">
        <v>6</v>
      </c>
      <c r="D8" s="12" t="s">
        <v>18</v>
      </c>
      <c r="E8" s="11">
        <v>50</v>
      </c>
    </row>
    <row r="9" spans="1:9" x14ac:dyDescent="0.35">
      <c r="A9" t="str">
        <f t="shared" si="0"/>
        <v>P06Speaker</v>
      </c>
      <c r="B9" s="11" t="s">
        <v>27</v>
      </c>
      <c r="C9" s="11" t="s">
        <v>7</v>
      </c>
      <c r="D9" s="11" t="s">
        <v>19</v>
      </c>
      <c r="E9" s="11">
        <v>340</v>
      </c>
    </row>
    <row r="10" spans="1:9" x14ac:dyDescent="0.35">
      <c r="A10" t="str">
        <f t="shared" si="0"/>
        <v>P07RGB Light</v>
      </c>
      <c r="B10" s="11" t="s">
        <v>28</v>
      </c>
      <c r="C10" s="12" t="s">
        <v>8</v>
      </c>
      <c r="D10" s="12" t="s">
        <v>20</v>
      </c>
      <c r="E10" s="11">
        <v>210</v>
      </c>
    </row>
    <row r="11" spans="1:9" x14ac:dyDescent="0.35">
      <c r="A11" t="str">
        <f t="shared" si="0"/>
        <v>P08Monitor</v>
      </c>
      <c r="B11" s="11" t="s">
        <v>29</v>
      </c>
      <c r="C11" s="11" t="s">
        <v>3</v>
      </c>
      <c r="D11" s="11" t="s">
        <v>21</v>
      </c>
      <c r="E11" s="11">
        <v>170</v>
      </c>
    </row>
    <row r="12" spans="1:9" x14ac:dyDescent="0.35">
      <c r="A12" t="str">
        <f t="shared" si="0"/>
        <v>P09Keyboard</v>
      </c>
      <c r="B12" s="11" t="s">
        <v>30</v>
      </c>
      <c r="C12" s="12" t="s">
        <v>9</v>
      </c>
      <c r="D12" s="12" t="s">
        <v>18</v>
      </c>
      <c r="E12" s="11">
        <v>55</v>
      </c>
    </row>
    <row r="13" spans="1:9" x14ac:dyDescent="0.35">
      <c r="A13" t="str">
        <f t="shared" si="0"/>
        <v>P10Mouse 3.0</v>
      </c>
      <c r="B13" s="11" t="s">
        <v>31</v>
      </c>
      <c r="C13" s="11" t="s">
        <v>10</v>
      </c>
      <c r="D13" s="11" t="s">
        <v>19</v>
      </c>
      <c r="E13" s="11">
        <v>77</v>
      </c>
    </row>
    <row r="14" spans="1:9" x14ac:dyDescent="0.35">
      <c r="A14" t="str">
        <f t="shared" si="0"/>
        <v>P11Wireless Mouse</v>
      </c>
      <c r="B14" s="11" t="s">
        <v>32</v>
      </c>
      <c r="C14" s="11" t="s">
        <v>15</v>
      </c>
      <c r="D14" s="12" t="s">
        <v>20</v>
      </c>
      <c r="E14" s="11">
        <v>154</v>
      </c>
    </row>
    <row r="15" spans="1:9" x14ac:dyDescent="0.35">
      <c r="A15" t="str">
        <f t="shared" si="0"/>
        <v>P12HDD 256 GB</v>
      </c>
      <c r="B15" s="14" t="s">
        <v>33</v>
      </c>
      <c r="C15" s="14" t="s">
        <v>11</v>
      </c>
      <c r="D15" s="14" t="s">
        <v>21</v>
      </c>
      <c r="E15" s="14">
        <v>230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A55-6B6F-4671-B01A-CDA8D74CE78C}">
  <dimension ref="A1:H15"/>
  <sheetViews>
    <sheetView zoomScale="130" zoomScaleNormal="130" workbookViewId="0">
      <selection activeCell="H7" sqref="H7"/>
    </sheetView>
  </sheetViews>
  <sheetFormatPr defaultRowHeight="18" x14ac:dyDescent="0.35"/>
  <cols>
    <col min="1" max="1" width="4.33203125" customWidth="1"/>
    <col min="2" max="2" width="10.9140625" customWidth="1"/>
    <col min="3" max="3" width="12.25" customWidth="1"/>
    <col min="4" max="5" width="9.25" customWidth="1"/>
    <col min="6" max="6" width="4.25" customWidth="1"/>
    <col min="7" max="7" width="11.08203125" customWidth="1"/>
    <col min="8" max="8" width="12.25" customWidth="1"/>
  </cols>
  <sheetData>
    <row r="1" spans="1:8" s="7" customFormat="1" ht="18.600000000000001" thickBot="1" x14ac:dyDescent="0.4">
      <c r="A1" s="6">
        <v>7</v>
      </c>
      <c r="B1" s="7" t="s">
        <v>44</v>
      </c>
    </row>
    <row r="2" spans="1:8" x14ac:dyDescent="0.35">
      <c r="A2" s="5"/>
    </row>
    <row r="3" spans="1:8" x14ac:dyDescent="0.35">
      <c r="B3" s="9" t="s">
        <v>0</v>
      </c>
      <c r="C3" s="9" t="s">
        <v>1</v>
      </c>
      <c r="D3" s="9" t="s">
        <v>16</v>
      </c>
      <c r="E3" s="10" t="s">
        <v>17</v>
      </c>
      <c r="G3" s="4" t="s">
        <v>0</v>
      </c>
      <c r="H3" s="18" t="s">
        <v>1</v>
      </c>
    </row>
    <row r="4" spans="1:8" x14ac:dyDescent="0.35">
      <c r="B4" s="11" t="s">
        <v>22</v>
      </c>
      <c r="C4" s="12" t="s">
        <v>2</v>
      </c>
      <c r="D4" s="12" t="s">
        <v>18</v>
      </c>
      <c r="E4" s="13">
        <v>100</v>
      </c>
      <c r="G4" s="16" t="s">
        <v>29</v>
      </c>
      <c r="H4" s="15" t="str">
        <f>VLOOKUP(G4,B3:E15,MATCH(H3,B3:E3,0),0)</f>
        <v>Monitor</v>
      </c>
    </row>
    <row r="5" spans="1:8" x14ac:dyDescent="0.35">
      <c r="B5" s="11" t="s">
        <v>23</v>
      </c>
      <c r="C5" s="11" t="s">
        <v>3</v>
      </c>
      <c r="D5" s="11" t="s">
        <v>19</v>
      </c>
      <c r="E5" s="13">
        <v>230</v>
      </c>
    </row>
    <row r="6" spans="1:8" x14ac:dyDescent="0.35">
      <c r="B6" s="11" t="s">
        <v>24</v>
      </c>
      <c r="C6" s="12" t="s">
        <v>4</v>
      </c>
      <c r="D6" s="12" t="s">
        <v>20</v>
      </c>
      <c r="E6" s="13">
        <v>120</v>
      </c>
    </row>
    <row r="7" spans="1:8" x14ac:dyDescent="0.35">
      <c r="B7" s="11" t="s">
        <v>25</v>
      </c>
      <c r="C7" s="11" t="s">
        <v>5</v>
      </c>
      <c r="D7" s="11" t="s">
        <v>21</v>
      </c>
      <c r="E7" s="13">
        <v>144</v>
      </c>
    </row>
    <row r="8" spans="1:8" x14ac:dyDescent="0.35">
      <c r="B8" s="11" t="s">
        <v>26</v>
      </c>
      <c r="C8" s="12" t="s">
        <v>6</v>
      </c>
      <c r="D8" s="12" t="s">
        <v>18</v>
      </c>
      <c r="E8" s="13">
        <v>50</v>
      </c>
      <c r="G8">
        <f>MATCH(H3,B3:E3,0)</f>
        <v>2</v>
      </c>
    </row>
    <row r="9" spans="1:8" x14ac:dyDescent="0.35">
      <c r="B9" s="11" t="s">
        <v>27</v>
      </c>
      <c r="C9" s="11" t="s">
        <v>7</v>
      </c>
      <c r="D9" s="11" t="s">
        <v>19</v>
      </c>
      <c r="E9" s="13">
        <v>340</v>
      </c>
      <c r="G9">
        <f>MATCH(H3,B3:E3,0)</f>
        <v>2</v>
      </c>
    </row>
    <row r="10" spans="1:8" x14ac:dyDescent="0.35">
      <c r="B10" s="11" t="s">
        <v>28</v>
      </c>
      <c r="C10" s="12" t="s">
        <v>8</v>
      </c>
      <c r="D10" s="12" t="s">
        <v>20</v>
      </c>
      <c r="E10" s="13">
        <v>210</v>
      </c>
    </row>
    <row r="11" spans="1:8" x14ac:dyDescent="0.35">
      <c r="B11" s="11" t="s">
        <v>29</v>
      </c>
      <c r="C11" s="11" t="s">
        <v>3</v>
      </c>
      <c r="D11" s="11" t="s">
        <v>21</v>
      </c>
      <c r="E11" s="13">
        <v>170</v>
      </c>
    </row>
    <row r="12" spans="1:8" x14ac:dyDescent="0.35">
      <c r="B12" s="11" t="s">
        <v>30</v>
      </c>
      <c r="C12" s="12" t="s">
        <v>9</v>
      </c>
      <c r="D12" s="12" t="s">
        <v>18</v>
      </c>
      <c r="E12" s="13">
        <v>55</v>
      </c>
    </row>
    <row r="13" spans="1:8" x14ac:dyDescent="0.35">
      <c r="B13" s="11" t="s">
        <v>31</v>
      </c>
      <c r="C13" s="11" t="s">
        <v>10</v>
      </c>
      <c r="D13" s="11" t="s">
        <v>19</v>
      </c>
      <c r="E13" s="13">
        <v>77</v>
      </c>
    </row>
    <row r="14" spans="1:8" x14ac:dyDescent="0.35">
      <c r="B14" s="11" t="s">
        <v>32</v>
      </c>
      <c r="C14" s="11" t="s">
        <v>15</v>
      </c>
      <c r="D14" s="12" t="s">
        <v>20</v>
      </c>
      <c r="E14" s="13">
        <v>154</v>
      </c>
    </row>
    <row r="15" spans="1:8" x14ac:dyDescent="0.35">
      <c r="B15" s="14" t="s">
        <v>33</v>
      </c>
      <c r="C15" s="14" t="s">
        <v>11</v>
      </c>
      <c r="D15" s="14" t="s">
        <v>21</v>
      </c>
      <c r="E15" s="3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8BEC-6B98-4AF5-AE22-8514AB0C0ADA}">
  <dimension ref="A1:J20"/>
  <sheetViews>
    <sheetView topLeftCell="C1" zoomScale="130" zoomScaleNormal="130" workbookViewId="0">
      <selection activeCell="K7" sqref="K7"/>
    </sheetView>
  </sheetViews>
  <sheetFormatPr defaultRowHeight="18" x14ac:dyDescent="0.35"/>
  <cols>
    <col min="1" max="1" width="4.33203125" customWidth="1"/>
    <col min="2" max="2" width="10.9140625" customWidth="1"/>
    <col min="3" max="3" width="13.58203125" customWidth="1"/>
    <col min="4" max="5" width="9.25" customWidth="1"/>
    <col min="6" max="6" width="4.25" customWidth="1"/>
    <col min="7" max="7" width="11.08203125" customWidth="1"/>
    <col min="8" max="8" width="12.25" customWidth="1"/>
  </cols>
  <sheetData>
    <row r="1" spans="1:10" s="7" customFormat="1" ht="18.600000000000001" thickBot="1" x14ac:dyDescent="0.4">
      <c r="A1" s="6">
        <v>8</v>
      </c>
      <c r="B1" s="7" t="s">
        <v>46</v>
      </c>
    </row>
    <row r="2" spans="1:10" x14ac:dyDescent="0.35">
      <c r="A2" s="5"/>
    </row>
    <row r="3" spans="1:10" x14ac:dyDescent="0.35">
      <c r="B3" s="9" t="s">
        <v>0</v>
      </c>
      <c r="C3" s="9" t="s">
        <v>1</v>
      </c>
      <c r="D3" s="9" t="s">
        <v>47</v>
      </c>
      <c r="E3" s="10" t="s">
        <v>17</v>
      </c>
      <c r="G3" s="9" t="s">
        <v>47</v>
      </c>
      <c r="H3" s="18" t="s">
        <v>45</v>
      </c>
    </row>
    <row r="4" spans="1:10" x14ac:dyDescent="0.35">
      <c r="B4" s="11" t="s">
        <v>22</v>
      </c>
      <c r="C4" s="12" t="s">
        <v>2</v>
      </c>
      <c r="D4" s="12" t="s">
        <v>48</v>
      </c>
      <c r="E4" s="13">
        <v>100</v>
      </c>
      <c r="G4" s="2" t="s">
        <v>53</v>
      </c>
      <c r="H4" s="15" t="str">
        <f>VLOOKUP(G4,CHOOSE({1,2},D3:D15,C3:C15),2,0)</f>
        <v>Speaker</v>
      </c>
      <c r="J4" t="s">
        <v>84</v>
      </c>
    </row>
    <row r="5" spans="1:10" x14ac:dyDescent="0.35">
      <c r="B5" s="11" t="s">
        <v>23</v>
      </c>
      <c r="C5" s="11" t="s">
        <v>3</v>
      </c>
      <c r="D5" s="11" t="s">
        <v>49</v>
      </c>
      <c r="E5" s="13">
        <v>230</v>
      </c>
    </row>
    <row r="6" spans="1:10" x14ac:dyDescent="0.35">
      <c r="B6" s="11" t="s">
        <v>24</v>
      </c>
      <c r="C6" s="12" t="s">
        <v>4</v>
      </c>
      <c r="D6" s="12" t="s">
        <v>50</v>
      </c>
      <c r="E6" s="13">
        <v>120</v>
      </c>
    </row>
    <row r="7" spans="1:10" x14ac:dyDescent="0.35">
      <c r="B7" s="11" t="s">
        <v>25</v>
      </c>
      <c r="C7" s="11" t="s">
        <v>5</v>
      </c>
      <c r="D7" s="11" t="s">
        <v>51</v>
      </c>
      <c r="E7" s="13">
        <v>144</v>
      </c>
    </row>
    <row r="8" spans="1:10" x14ac:dyDescent="0.35">
      <c r="B8" s="11" t="s">
        <v>26</v>
      </c>
      <c r="C8" s="12" t="s">
        <v>6</v>
      </c>
      <c r="D8" s="12" t="s">
        <v>52</v>
      </c>
      <c r="E8" s="13">
        <v>50</v>
      </c>
      <c r="G8" t="str" cm="1">
        <f t="array" ref="G8:I20">CHOOSE({1,2,3},C3:C15,D3:D15,B3:B15)</f>
        <v>Product</v>
      </c>
      <c r="H8" t="str">
        <v>HSN Code</v>
      </c>
      <c r="I8" t="str">
        <v>Product ID</v>
      </c>
    </row>
    <row r="9" spans="1:10" x14ac:dyDescent="0.35">
      <c r="B9" s="11" t="s">
        <v>27</v>
      </c>
      <c r="C9" s="11" t="s">
        <v>7</v>
      </c>
      <c r="D9" s="11" t="s">
        <v>53</v>
      </c>
      <c r="E9" s="13">
        <v>340</v>
      </c>
      <c r="G9" t="str">
        <v>Mouse</v>
      </c>
      <c r="H9" t="str">
        <v>EP0101</v>
      </c>
      <c r="I9" t="str">
        <v>P01</v>
      </c>
    </row>
    <row r="10" spans="1:10" x14ac:dyDescent="0.35">
      <c r="B10" s="11" t="s">
        <v>28</v>
      </c>
      <c r="C10" s="12" t="s">
        <v>8</v>
      </c>
      <c r="D10" s="12" t="s">
        <v>54</v>
      </c>
      <c r="E10" s="13">
        <v>210</v>
      </c>
      <c r="G10" t="str">
        <v>Monitor</v>
      </c>
      <c r="H10" t="str">
        <v>EP0102</v>
      </c>
      <c r="I10" t="str">
        <v>P02</v>
      </c>
    </row>
    <row r="11" spans="1:10" x14ac:dyDescent="0.35">
      <c r="B11" s="11" t="s">
        <v>29</v>
      </c>
      <c r="C11" s="11" t="s">
        <v>3</v>
      </c>
      <c r="D11" s="11" t="s">
        <v>55</v>
      </c>
      <c r="E11" s="13">
        <v>170</v>
      </c>
      <c r="G11" t="str">
        <v>Printer</v>
      </c>
      <c r="H11" t="str">
        <v>EP0103</v>
      </c>
      <c r="I11" t="str">
        <v>P03</v>
      </c>
    </row>
    <row r="12" spans="1:10" x14ac:dyDescent="0.35">
      <c r="B12" s="11" t="s">
        <v>30</v>
      </c>
      <c r="C12" s="12" t="s">
        <v>9</v>
      </c>
      <c r="D12" s="12" t="s">
        <v>56</v>
      </c>
      <c r="E12" s="13">
        <v>55</v>
      </c>
      <c r="G12" t="str">
        <v>Processor i3</v>
      </c>
      <c r="H12" t="str">
        <v>EP0104</v>
      </c>
      <c r="I12" t="str">
        <v>P04</v>
      </c>
    </row>
    <row r="13" spans="1:10" x14ac:dyDescent="0.35">
      <c r="B13" s="11" t="s">
        <v>31</v>
      </c>
      <c r="C13" s="11" t="s">
        <v>10</v>
      </c>
      <c r="D13" s="11" t="s">
        <v>57</v>
      </c>
      <c r="E13" s="13">
        <v>77</v>
      </c>
      <c r="G13" t="str">
        <v>Processor i4</v>
      </c>
      <c r="H13" t="str">
        <v>EP0105</v>
      </c>
      <c r="I13" t="str">
        <v>P05</v>
      </c>
    </row>
    <row r="14" spans="1:10" x14ac:dyDescent="0.35">
      <c r="B14" s="11" t="s">
        <v>32</v>
      </c>
      <c r="C14" s="11" t="s">
        <v>15</v>
      </c>
      <c r="D14" s="12" t="s">
        <v>58</v>
      </c>
      <c r="E14" s="13">
        <v>154</v>
      </c>
      <c r="G14" t="str">
        <v>Speaker</v>
      </c>
      <c r="H14" t="str">
        <v>EP0106</v>
      </c>
      <c r="I14" t="str">
        <v>P06</v>
      </c>
    </row>
    <row r="15" spans="1:10" x14ac:dyDescent="0.35">
      <c r="B15" s="14" t="s">
        <v>33</v>
      </c>
      <c r="C15" s="14" t="s">
        <v>11</v>
      </c>
      <c r="D15" s="11" t="s">
        <v>59</v>
      </c>
      <c r="E15" s="3">
        <v>230</v>
      </c>
      <c r="G15" t="str">
        <v>RGB Light</v>
      </c>
      <c r="H15" t="str">
        <v>EP0107</v>
      </c>
      <c r="I15" t="str">
        <v>P07</v>
      </c>
    </row>
    <row r="16" spans="1:10" x14ac:dyDescent="0.35">
      <c r="G16" t="str">
        <v>Monitor</v>
      </c>
      <c r="H16" t="str">
        <v>EP0108</v>
      </c>
      <c r="I16" t="str">
        <v>P08</v>
      </c>
    </row>
    <row r="17" spans="7:9" x14ac:dyDescent="0.35">
      <c r="G17" t="str">
        <v>Keyboard</v>
      </c>
      <c r="H17" t="str">
        <v>EP0109</v>
      </c>
      <c r="I17" t="str">
        <v>P09</v>
      </c>
    </row>
    <row r="18" spans="7:9" x14ac:dyDescent="0.35">
      <c r="G18" t="str">
        <v>Mouse 3.0</v>
      </c>
      <c r="H18" t="str">
        <v>EP0110</v>
      </c>
      <c r="I18" t="str">
        <v>P10</v>
      </c>
    </row>
    <row r="19" spans="7:9" x14ac:dyDescent="0.35">
      <c r="G19" t="str">
        <v>Wireless Mouse</v>
      </c>
      <c r="H19" t="str">
        <v>EP0111</v>
      </c>
      <c r="I19" t="str">
        <v>P11</v>
      </c>
    </row>
    <row r="20" spans="7:9" x14ac:dyDescent="0.35">
      <c r="G20" t="str">
        <v>HDD 256 GB</v>
      </c>
      <c r="H20" t="str">
        <v>EP0112</v>
      </c>
      <c r="I20" t="str">
        <v>P12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7328-577E-48DF-88FC-D82F126C3FB6}">
  <dimension ref="A1:L18"/>
  <sheetViews>
    <sheetView zoomScale="130" zoomScaleNormal="130" workbookViewId="0">
      <selection activeCell="K7" sqref="K7"/>
    </sheetView>
  </sheetViews>
  <sheetFormatPr defaultRowHeight="18" x14ac:dyDescent="0.35"/>
  <cols>
    <col min="1" max="1" width="4.33203125" customWidth="1"/>
    <col min="2" max="2" width="10.9140625" customWidth="1"/>
    <col min="3" max="3" width="13.08203125" customWidth="1"/>
    <col min="4" max="7" width="7.4140625" customWidth="1"/>
    <col min="8" max="8" width="4.9140625" customWidth="1"/>
    <col min="9" max="9" width="10" customWidth="1"/>
    <col min="10" max="12" width="6.83203125" customWidth="1"/>
  </cols>
  <sheetData>
    <row r="1" spans="1:12" s="7" customFormat="1" ht="18.600000000000001" thickBot="1" x14ac:dyDescent="0.4">
      <c r="A1" s="6">
        <v>9</v>
      </c>
      <c r="B1" s="7" t="s">
        <v>66</v>
      </c>
    </row>
    <row r="2" spans="1:12" x14ac:dyDescent="0.35">
      <c r="A2" s="5"/>
    </row>
    <row r="3" spans="1:12" x14ac:dyDescent="0.35">
      <c r="B3" s="9" t="s">
        <v>0</v>
      </c>
      <c r="C3" s="9" t="s">
        <v>1</v>
      </c>
      <c r="D3" s="19" t="s">
        <v>61</v>
      </c>
      <c r="E3" s="19" t="s">
        <v>62</v>
      </c>
      <c r="F3" s="19" t="s">
        <v>63</v>
      </c>
      <c r="G3" s="19" t="s">
        <v>64</v>
      </c>
      <c r="I3" s="9" t="s">
        <v>0</v>
      </c>
      <c r="J3" s="10" t="s">
        <v>61</v>
      </c>
      <c r="K3" s="10" t="s">
        <v>62</v>
      </c>
      <c r="L3" s="10" t="s">
        <v>63</v>
      </c>
    </row>
    <row r="4" spans="1:12" x14ac:dyDescent="0.35">
      <c r="B4" s="11" t="s">
        <v>22</v>
      </c>
      <c r="C4" s="12" t="s">
        <v>2</v>
      </c>
      <c r="D4" s="2">
        <v>1200</v>
      </c>
      <c r="E4" s="3">
        <v>70000</v>
      </c>
      <c r="F4" s="2">
        <v>1200</v>
      </c>
      <c r="G4" s="3">
        <v>2300</v>
      </c>
      <c r="I4" s="3" t="s">
        <v>28</v>
      </c>
      <c r="J4" s="1" cm="1">
        <f t="array" ref="J4:L4">VLOOKUP(I4,B3:G15,{3,4,5},0)</f>
        <v>54000</v>
      </c>
      <c r="K4" s="1">
        <v>7800</v>
      </c>
      <c r="L4" s="1">
        <v>23900</v>
      </c>
    </row>
    <row r="5" spans="1:12" x14ac:dyDescent="0.35">
      <c r="B5" s="11" t="s">
        <v>23</v>
      </c>
      <c r="C5" s="11" t="s">
        <v>3</v>
      </c>
      <c r="D5" s="3">
        <v>2300</v>
      </c>
      <c r="E5" s="3">
        <v>50000</v>
      </c>
      <c r="F5" s="3">
        <v>2330</v>
      </c>
      <c r="G5" s="3">
        <v>540000</v>
      </c>
    </row>
    <row r="6" spans="1:12" x14ac:dyDescent="0.35">
      <c r="B6" s="11" t="s">
        <v>24</v>
      </c>
      <c r="C6" s="12" t="s">
        <v>4</v>
      </c>
      <c r="D6" s="2">
        <v>34000</v>
      </c>
      <c r="E6" s="3">
        <v>3400</v>
      </c>
      <c r="F6" s="2">
        <v>54000</v>
      </c>
      <c r="G6" s="3">
        <v>7800</v>
      </c>
    </row>
    <row r="7" spans="1:12" x14ac:dyDescent="0.35">
      <c r="B7" s="11" t="s">
        <v>25</v>
      </c>
      <c r="C7" s="11" t="s">
        <v>5</v>
      </c>
      <c r="D7" s="3">
        <v>45000</v>
      </c>
      <c r="E7" s="3">
        <v>3400</v>
      </c>
      <c r="F7" s="3">
        <v>6500</v>
      </c>
      <c r="G7" s="3">
        <v>3400</v>
      </c>
    </row>
    <row r="8" spans="1:12" x14ac:dyDescent="0.35">
      <c r="B8" s="11" t="s">
        <v>26</v>
      </c>
      <c r="C8" s="12" t="s">
        <v>6</v>
      </c>
      <c r="D8" s="2">
        <v>1200</v>
      </c>
      <c r="E8" s="3">
        <v>2300</v>
      </c>
      <c r="F8" s="2">
        <v>44500</v>
      </c>
      <c r="G8" s="3">
        <v>2300</v>
      </c>
    </row>
    <row r="9" spans="1:12" x14ac:dyDescent="0.35">
      <c r="B9" s="11" t="s">
        <v>27</v>
      </c>
      <c r="C9" s="11" t="s">
        <v>7</v>
      </c>
      <c r="D9" s="3">
        <v>2330</v>
      </c>
      <c r="E9" s="3">
        <v>540000</v>
      </c>
      <c r="F9" s="3">
        <v>4300</v>
      </c>
      <c r="G9" s="3">
        <v>5440</v>
      </c>
    </row>
    <row r="10" spans="1:12" x14ac:dyDescent="0.35">
      <c r="B10" s="11" t="s">
        <v>28</v>
      </c>
      <c r="C10" s="12" t="s">
        <v>8</v>
      </c>
      <c r="D10" s="2">
        <v>54000</v>
      </c>
      <c r="E10" s="3">
        <v>7800</v>
      </c>
      <c r="F10" s="2">
        <v>23900</v>
      </c>
      <c r="G10" s="3">
        <v>8700</v>
      </c>
    </row>
    <row r="11" spans="1:12" x14ac:dyDescent="0.35">
      <c r="B11" s="11" t="s">
        <v>29</v>
      </c>
      <c r="C11" s="11" t="s">
        <v>3</v>
      </c>
      <c r="D11" s="3">
        <v>6500</v>
      </c>
      <c r="E11" s="3">
        <v>3400</v>
      </c>
      <c r="F11" s="3">
        <v>3400</v>
      </c>
      <c r="G11" s="2">
        <v>54000</v>
      </c>
    </row>
    <row r="12" spans="1:12" x14ac:dyDescent="0.35">
      <c r="B12" s="11" t="s">
        <v>30</v>
      </c>
      <c r="C12" s="12" t="s">
        <v>9</v>
      </c>
      <c r="D12" s="2">
        <v>44500</v>
      </c>
      <c r="E12" s="3">
        <v>2300</v>
      </c>
      <c r="F12" s="3">
        <v>3400</v>
      </c>
      <c r="G12" s="3">
        <v>6500</v>
      </c>
    </row>
    <row r="13" spans="1:12" x14ac:dyDescent="0.35">
      <c r="B13" s="11" t="s">
        <v>31</v>
      </c>
      <c r="C13" s="11" t="s">
        <v>10</v>
      </c>
      <c r="D13" s="3">
        <v>4300</v>
      </c>
      <c r="E13" s="3">
        <v>5440</v>
      </c>
      <c r="F13" s="3">
        <v>2300</v>
      </c>
      <c r="G13" s="2">
        <v>44500</v>
      </c>
    </row>
    <row r="14" spans="1:12" x14ac:dyDescent="0.35">
      <c r="B14" s="11" t="s">
        <v>32</v>
      </c>
      <c r="C14" s="11" t="s">
        <v>15</v>
      </c>
      <c r="D14" s="2">
        <v>23900</v>
      </c>
      <c r="E14" s="3">
        <v>8700</v>
      </c>
      <c r="F14" s="3">
        <v>540000</v>
      </c>
      <c r="G14" s="3">
        <v>4300</v>
      </c>
    </row>
    <row r="15" spans="1:12" x14ac:dyDescent="0.35">
      <c r="B15" s="14" t="s">
        <v>33</v>
      </c>
      <c r="C15" s="14" t="s">
        <v>11</v>
      </c>
      <c r="D15" s="3">
        <v>23000</v>
      </c>
      <c r="E15" s="3">
        <v>23000</v>
      </c>
      <c r="F15" s="3">
        <v>2300</v>
      </c>
      <c r="G15" s="2">
        <v>44500</v>
      </c>
    </row>
    <row r="16" spans="1:12" ht="13.05" customHeight="1" x14ac:dyDescent="0.35"/>
    <row r="17" spans="2:7" x14ac:dyDescent="0.35">
      <c r="B17" s="9" t="s">
        <v>0</v>
      </c>
      <c r="C17" s="9" t="s">
        <v>1</v>
      </c>
      <c r="D17" s="10" t="s">
        <v>61</v>
      </c>
      <c r="E17" s="10" t="s">
        <v>62</v>
      </c>
      <c r="F17" s="10" t="s">
        <v>63</v>
      </c>
      <c r="G17" s="10" t="s">
        <v>64</v>
      </c>
    </row>
    <row r="18" spans="2:7" x14ac:dyDescent="0.35">
      <c r="B18" s="1" t="s">
        <v>31</v>
      </c>
      <c r="C18" s="1" t="str" cm="1">
        <f t="array" ref="C18:G18">VLOOKUP(B18,B3:G15,{2,3,4,5,6},0)</f>
        <v>Mouse 3.0</v>
      </c>
      <c r="D18" s="1">
        <v>4300</v>
      </c>
      <c r="E18" s="1">
        <v>5440</v>
      </c>
      <c r="F18" s="1">
        <v>2300</v>
      </c>
      <c r="G18" s="1">
        <v>44500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2469-2029-4FBF-B851-A0C18478576F}">
  <dimension ref="A1:J16"/>
  <sheetViews>
    <sheetView zoomScale="130" zoomScaleNormal="130" workbookViewId="0">
      <selection activeCell="I5" sqref="I5"/>
    </sheetView>
  </sheetViews>
  <sheetFormatPr defaultRowHeight="18" x14ac:dyDescent="0.35"/>
  <cols>
    <col min="1" max="1" width="4.33203125" customWidth="1"/>
    <col min="2" max="2" width="10.9140625" customWidth="1"/>
    <col min="3" max="3" width="13.08203125" customWidth="1"/>
    <col min="4" max="7" width="7.4140625" customWidth="1"/>
    <col min="8" max="8" width="4.9140625" customWidth="1"/>
    <col min="9" max="9" width="10.25" customWidth="1"/>
    <col min="10" max="10" width="9.5" customWidth="1"/>
    <col min="11" max="12" width="6.25" customWidth="1"/>
  </cols>
  <sheetData>
    <row r="1" spans="1:10" s="7" customFormat="1" ht="18.600000000000001" thickBot="1" x14ac:dyDescent="0.4">
      <c r="A1" s="6">
        <v>10</v>
      </c>
      <c r="B1" s="7" t="s">
        <v>60</v>
      </c>
    </row>
    <row r="2" spans="1:10" x14ac:dyDescent="0.35">
      <c r="A2" s="5"/>
    </row>
    <row r="3" spans="1:10" x14ac:dyDescent="0.35">
      <c r="B3" s="9" t="s">
        <v>0</v>
      </c>
      <c r="C3" s="9" t="s">
        <v>1</v>
      </c>
      <c r="D3" s="19" t="s">
        <v>61</v>
      </c>
      <c r="E3" s="19" t="s">
        <v>62</v>
      </c>
      <c r="F3" s="19" t="s">
        <v>63</v>
      </c>
      <c r="G3" s="19" t="s">
        <v>64</v>
      </c>
      <c r="I3" s="9" t="s">
        <v>0</v>
      </c>
      <c r="J3" s="10" t="s">
        <v>65</v>
      </c>
    </row>
    <row r="4" spans="1:10" x14ac:dyDescent="0.35">
      <c r="B4" s="11" t="s">
        <v>22</v>
      </c>
      <c r="C4" s="12" t="s">
        <v>2</v>
      </c>
      <c r="D4" s="2">
        <v>1200</v>
      </c>
      <c r="E4" s="3">
        <v>70000</v>
      </c>
      <c r="F4" s="2">
        <v>1200</v>
      </c>
      <c r="G4" s="3">
        <v>2300</v>
      </c>
      <c r="I4" s="3" t="s">
        <v>29</v>
      </c>
      <c r="J4" s="1" cm="1">
        <f t="array" ref="J4">SUM(VLOOKUP(I4,B3:G15,{3,4,5,6},0))</f>
        <v>67300</v>
      </c>
    </row>
    <row r="5" spans="1:10" x14ac:dyDescent="0.35">
      <c r="B5" s="11" t="s">
        <v>23</v>
      </c>
      <c r="C5" s="11" t="s">
        <v>3</v>
      </c>
      <c r="D5" s="3">
        <v>2300</v>
      </c>
      <c r="E5" s="3">
        <v>50000</v>
      </c>
      <c r="F5" s="3">
        <v>2330</v>
      </c>
      <c r="G5" s="3">
        <v>540000</v>
      </c>
    </row>
    <row r="6" spans="1:10" x14ac:dyDescent="0.35">
      <c r="B6" s="11" t="s">
        <v>24</v>
      </c>
      <c r="C6" s="12" t="s">
        <v>4</v>
      </c>
      <c r="D6" s="2">
        <v>34000</v>
      </c>
      <c r="E6" s="3">
        <v>3400</v>
      </c>
      <c r="F6" s="2">
        <v>54000</v>
      </c>
      <c r="G6" s="3">
        <v>7800</v>
      </c>
    </row>
    <row r="7" spans="1:10" x14ac:dyDescent="0.35">
      <c r="B7" s="11" t="s">
        <v>25</v>
      </c>
      <c r="C7" s="11" t="s">
        <v>5</v>
      </c>
      <c r="D7" s="3">
        <v>45000</v>
      </c>
      <c r="E7" s="3">
        <v>3400</v>
      </c>
      <c r="F7" s="3">
        <v>6500</v>
      </c>
      <c r="G7" s="3">
        <v>3400</v>
      </c>
    </row>
    <row r="8" spans="1:10" x14ac:dyDescent="0.35">
      <c r="B8" s="11" t="s">
        <v>26</v>
      </c>
      <c r="C8" s="12" t="s">
        <v>6</v>
      </c>
      <c r="D8" s="2">
        <v>1200</v>
      </c>
      <c r="E8" s="3">
        <v>2300</v>
      </c>
      <c r="F8" s="2">
        <v>44500</v>
      </c>
      <c r="G8" s="3">
        <v>2300</v>
      </c>
    </row>
    <row r="9" spans="1:10" x14ac:dyDescent="0.35">
      <c r="B9" s="11" t="s">
        <v>27</v>
      </c>
      <c r="C9" s="11" t="s">
        <v>7</v>
      </c>
      <c r="D9" s="3">
        <v>2330</v>
      </c>
      <c r="E9" s="3">
        <v>540000</v>
      </c>
      <c r="F9" s="3">
        <v>4300</v>
      </c>
      <c r="G9" s="3">
        <v>5440</v>
      </c>
    </row>
    <row r="10" spans="1:10" x14ac:dyDescent="0.35">
      <c r="B10" s="11" t="s">
        <v>28</v>
      </c>
      <c r="C10" s="12" t="s">
        <v>8</v>
      </c>
      <c r="D10" s="2">
        <v>54000</v>
      </c>
      <c r="E10" s="3">
        <v>7800</v>
      </c>
      <c r="F10" s="2">
        <v>23900</v>
      </c>
      <c r="G10" s="3">
        <v>8700</v>
      </c>
    </row>
    <row r="11" spans="1:10" x14ac:dyDescent="0.35">
      <c r="B11" s="11" t="s">
        <v>29</v>
      </c>
      <c r="C11" s="11" t="s">
        <v>3</v>
      </c>
      <c r="D11" s="3">
        <v>6500</v>
      </c>
      <c r="E11" s="3">
        <v>3400</v>
      </c>
      <c r="F11" s="3">
        <v>3400</v>
      </c>
      <c r="G11" s="2">
        <v>54000</v>
      </c>
    </row>
    <row r="12" spans="1:10" x14ac:dyDescent="0.35">
      <c r="B12" s="11" t="s">
        <v>30</v>
      </c>
      <c r="C12" s="12" t="s">
        <v>9</v>
      </c>
      <c r="D12" s="2">
        <v>44500</v>
      </c>
      <c r="E12" s="3">
        <v>2300</v>
      </c>
      <c r="F12" s="3">
        <v>3400</v>
      </c>
      <c r="G12" s="3">
        <v>6500</v>
      </c>
    </row>
    <row r="13" spans="1:10" x14ac:dyDescent="0.35">
      <c r="B13" s="11" t="s">
        <v>31</v>
      </c>
      <c r="C13" s="11" t="s">
        <v>10</v>
      </c>
      <c r="D13" s="3">
        <v>4300</v>
      </c>
      <c r="E13" s="3">
        <v>5440</v>
      </c>
      <c r="F13" s="3">
        <v>2300</v>
      </c>
      <c r="G13" s="2">
        <v>44500</v>
      </c>
    </row>
    <row r="14" spans="1:10" x14ac:dyDescent="0.35">
      <c r="B14" s="11" t="s">
        <v>32</v>
      </c>
      <c r="C14" s="11" t="s">
        <v>15</v>
      </c>
      <c r="D14" s="2">
        <v>23900</v>
      </c>
      <c r="E14" s="3">
        <v>8700</v>
      </c>
      <c r="F14" s="3">
        <v>540000</v>
      </c>
      <c r="G14" s="3">
        <v>4300</v>
      </c>
    </row>
    <row r="15" spans="1:10" x14ac:dyDescent="0.35">
      <c r="B15" s="14" t="s">
        <v>33</v>
      </c>
      <c r="C15" s="14" t="s">
        <v>11</v>
      </c>
      <c r="D15" s="3">
        <v>23000</v>
      </c>
      <c r="E15" s="3">
        <v>23000</v>
      </c>
      <c r="F15" s="3">
        <v>2300</v>
      </c>
      <c r="G15" s="2">
        <v>44500</v>
      </c>
    </row>
    <row r="16" spans="1:10" ht="13.05" customHeight="1" x14ac:dyDescent="0.3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BD30-3CCC-4B58-B6C2-432EF6A4F11C}">
  <dimension ref="A1:J18"/>
  <sheetViews>
    <sheetView tabSelected="1" topLeftCell="A3" zoomScale="130" zoomScaleNormal="130" workbookViewId="0">
      <selection activeCell="I7" sqref="I7"/>
    </sheetView>
  </sheetViews>
  <sheetFormatPr defaultRowHeight="18" x14ac:dyDescent="0.35"/>
  <cols>
    <col min="1" max="1" width="4.33203125" customWidth="1"/>
    <col min="2" max="2" width="13.08203125" customWidth="1"/>
    <col min="3" max="6" width="7.4140625" customWidth="1"/>
    <col min="7" max="7" width="4.9140625" customWidth="1"/>
    <col min="8" max="8" width="10.25" customWidth="1"/>
    <col min="9" max="9" width="11.5" customWidth="1"/>
  </cols>
  <sheetData>
    <row r="1" spans="1:10" s="7" customFormat="1" ht="18.600000000000001" thickBot="1" x14ac:dyDescent="0.4">
      <c r="A1" s="6">
        <v>11</v>
      </c>
      <c r="B1" s="7" t="s">
        <v>67</v>
      </c>
    </row>
    <row r="2" spans="1:10" x14ac:dyDescent="0.35">
      <c r="A2" s="5"/>
    </row>
    <row r="3" spans="1:10" x14ac:dyDescent="0.35">
      <c r="B3" s="9" t="s">
        <v>1</v>
      </c>
      <c r="C3" s="19" t="s">
        <v>61</v>
      </c>
      <c r="D3" s="19" t="s">
        <v>62</v>
      </c>
      <c r="E3" s="19" t="s">
        <v>63</v>
      </c>
      <c r="F3" s="19" t="s">
        <v>64</v>
      </c>
      <c r="H3" s="9" t="s">
        <v>1</v>
      </c>
      <c r="I3" s="10" t="s">
        <v>63</v>
      </c>
    </row>
    <row r="4" spans="1:10" x14ac:dyDescent="0.35">
      <c r="B4" s="12" t="s">
        <v>4</v>
      </c>
      <c r="C4" s="2">
        <v>1200</v>
      </c>
      <c r="D4" s="3">
        <v>70000</v>
      </c>
      <c r="E4" s="2">
        <v>1200</v>
      </c>
      <c r="F4" s="3">
        <v>2300</v>
      </c>
      <c r="H4" s="3" t="s">
        <v>7</v>
      </c>
      <c r="I4" s="1">
        <f>VLOOKUP(H4,B3:F15,4,0)</f>
        <v>4300</v>
      </c>
    </row>
    <row r="5" spans="1:10" x14ac:dyDescent="0.35">
      <c r="B5" s="11" t="s">
        <v>3</v>
      </c>
      <c r="C5" s="3">
        <v>2300</v>
      </c>
      <c r="D5" s="3">
        <v>50000</v>
      </c>
      <c r="E5" s="3">
        <v>2330</v>
      </c>
      <c r="F5" s="3">
        <v>540000</v>
      </c>
    </row>
    <row r="6" spans="1:10" x14ac:dyDescent="0.35">
      <c r="B6" s="12" t="s">
        <v>4</v>
      </c>
      <c r="C6" s="2">
        <v>34000</v>
      </c>
      <c r="D6" s="3">
        <v>3400</v>
      </c>
      <c r="E6" s="2">
        <v>54000</v>
      </c>
      <c r="F6" s="3">
        <v>7800</v>
      </c>
    </row>
    <row r="7" spans="1:10" x14ac:dyDescent="0.35">
      <c r="B7" s="11" t="s">
        <v>5</v>
      </c>
      <c r="C7" s="3">
        <v>45000</v>
      </c>
      <c r="D7" s="3">
        <v>3400</v>
      </c>
      <c r="E7" s="3">
        <v>6500</v>
      </c>
      <c r="F7" s="3">
        <v>3400</v>
      </c>
      <c r="J7" t="str" cm="1">
        <f t="array" ref="J7:J18">TRIM(B4:B15)</f>
        <v>Printer</v>
      </c>
    </row>
    <row r="8" spans="1:10" x14ac:dyDescent="0.35">
      <c r="B8" s="12" t="s">
        <v>6</v>
      </c>
      <c r="C8" s="2">
        <v>1200</v>
      </c>
      <c r="D8" s="3">
        <v>2300</v>
      </c>
      <c r="E8" s="2">
        <v>44500</v>
      </c>
      <c r="F8" s="3">
        <v>2300</v>
      </c>
      <c r="J8" t="str">
        <v>Monitor</v>
      </c>
    </row>
    <row r="9" spans="1:10" x14ac:dyDescent="0.35">
      <c r="B9" s="11" t="s">
        <v>7</v>
      </c>
      <c r="C9" s="3">
        <v>2330</v>
      </c>
      <c r="D9" s="3">
        <v>540000</v>
      </c>
      <c r="E9" s="3">
        <v>4300</v>
      </c>
      <c r="F9" s="3">
        <v>5440</v>
      </c>
      <c r="J9" t="str">
        <v>Printer</v>
      </c>
    </row>
    <row r="10" spans="1:10" x14ac:dyDescent="0.35">
      <c r="B10" s="12" t="s">
        <v>8</v>
      </c>
      <c r="C10" s="2">
        <v>54000</v>
      </c>
      <c r="D10" s="3">
        <v>7800</v>
      </c>
      <c r="E10" s="2">
        <v>23900</v>
      </c>
      <c r="F10" s="3">
        <v>8700</v>
      </c>
      <c r="J10" t="str">
        <v>Processor i3</v>
      </c>
    </row>
    <row r="11" spans="1:10" x14ac:dyDescent="0.35">
      <c r="B11" s="11" t="s">
        <v>68</v>
      </c>
      <c r="C11" s="3">
        <v>6500</v>
      </c>
      <c r="D11" s="3">
        <v>3400</v>
      </c>
      <c r="E11" s="3">
        <v>3400</v>
      </c>
      <c r="F11" s="2">
        <v>54000</v>
      </c>
      <c r="J11" t="str">
        <v>Processor i4</v>
      </c>
    </row>
    <row r="12" spans="1:10" x14ac:dyDescent="0.35">
      <c r="B12" s="12" t="s">
        <v>9</v>
      </c>
      <c r="C12" s="2">
        <v>44500</v>
      </c>
      <c r="D12" s="3">
        <v>2300</v>
      </c>
      <c r="E12" s="3">
        <v>3400</v>
      </c>
      <c r="F12" s="3">
        <v>6500</v>
      </c>
      <c r="J12" t="str">
        <v>Speaker</v>
      </c>
    </row>
    <row r="13" spans="1:10" x14ac:dyDescent="0.35">
      <c r="B13" s="11" t="s">
        <v>10</v>
      </c>
      <c r="C13" s="3">
        <v>4300</v>
      </c>
      <c r="D13" s="3">
        <v>5440</v>
      </c>
      <c r="E13" s="3">
        <v>2300</v>
      </c>
      <c r="F13" s="2">
        <v>44500</v>
      </c>
      <c r="J13" t="str">
        <v>RGB Light</v>
      </c>
    </row>
    <row r="14" spans="1:10" x14ac:dyDescent="0.35">
      <c r="B14" s="11" t="s">
        <v>15</v>
      </c>
      <c r="C14" s="2">
        <v>23900</v>
      </c>
      <c r="D14" s="3">
        <v>8700</v>
      </c>
      <c r="E14" s="3">
        <v>540000</v>
      </c>
      <c r="F14" s="3">
        <v>4300</v>
      </c>
      <c r="J14" t="str">
        <v>Monitor 2</v>
      </c>
    </row>
    <row r="15" spans="1:10" x14ac:dyDescent="0.35">
      <c r="B15" s="14" t="s">
        <v>11</v>
      </c>
      <c r="C15" s="3">
        <v>23000</v>
      </c>
      <c r="D15" s="3">
        <v>23000</v>
      </c>
      <c r="E15" s="3">
        <v>2300</v>
      </c>
      <c r="F15" s="2">
        <v>44500</v>
      </c>
      <c r="J15" t="str">
        <v>Keyboard</v>
      </c>
    </row>
    <row r="16" spans="1:10" ht="13.05" customHeight="1" x14ac:dyDescent="0.35">
      <c r="J16" t="str">
        <v>Mouse 3.0</v>
      </c>
    </row>
    <row r="17" spans="10:10" x14ac:dyDescent="0.35">
      <c r="J17" t="str">
        <v>Wireless Mouse</v>
      </c>
    </row>
    <row r="18" spans="10:10" x14ac:dyDescent="0.35">
      <c r="J18" t="str">
        <v>HDD 256 GB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49B4-EFF6-496A-A165-71A6C893D48B}">
  <dimension ref="B4:E9"/>
  <sheetViews>
    <sheetView showGridLines="0" zoomScale="160" zoomScaleNormal="160" workbookViewId="0">
      <selection activeCell="E9" sqref="E9"/>
    </sheetView>
  </sheetViews>
  <sheetFormatPr defaultRowHeight="18" x14ac:dyDescent="0.35"/>
  <cols>
    <col min="2" max="2" width="3.58203125" customWidth="1"/>
    <col min="3" max="3" width="22.25" customWidth="1"/>
    <col min="4" max="4" width="3.58203125" customWidth="1"/>
    <col min="5" max="5" width="17.33203125" customWidth="1"/>
  </cols>
  <sheetData>
    <row r="4" spans="2:5" x14ac:dyDescent="0.35">
      <c r="B4" s="23">
        <v>1</v>
      </c>
      <c r="C4" t="s">
        <v>69</v>
      </c>
      <c r="D4" s="23">
        <v>7</v>
      </c>
      <c r="E4" t="s">
        <v>71</v>
      </c>
    </row>
    <row r="5" spans="2:5" x14ac:dyDescent="0.35">
      <c r="B5" s="23">
        <v>2</v>
      </c>
      <c r="C5" t="s">
        <v>76</v>
      </c>
      <c r="D5" s="23">
        <v>8</v>
      </c>
      <c r="E5" t="s">
        <v>72</v>
      </c>
    </row>
    <row r="6" spans="2:5" x14ac:dyDescent="0.35">
      <c r="B6" s="23">
        <v>3</v>
      </c>
      <c r="C6" t="s">
        <v>77</v>
      </c>
      <c r="D6" s="23">
        <v>9</v>
      </c>
      <c r="E6" t="s">
        <v>73</v>
      </c>
    </row>
    <row r="7" spans="2:5" x14ac:dyDescent="0.35">
      <c r="B7" s="23">
        <v>4</v>
      </c>
      <c r="C7" t="s">
        <v>70</v>
      </c>
      <c r="D7" s="23">
        <v>10</v>
      </c>
      <c r="E7" t="s">
        <v>74</v>
      </c>
    </row>
    <row r="8" spans="2:5" x14ac:dyDescent="0.35">
      <c r="B8" s="23">
        <v>5</v>
      </c>
      <c r="C8" t="s">
        <v>79</v>
      </c>
      <c r="D8" s="23">
        <v>11</v>
      </c>
      <c r="E8" t="s">
        <v>75</v>
      </c>
    </row>
    <row r="9" spans="2:5" x14ac:dyDescent="0.35">
      <c r="B9" s="23">
        <v>6</v>
      </c>
      <c r="C9" t="s">
        <v>80</v>
      </c>
      <c r="D9" s="24">
        <v>12</v>
      </c>
      <c r="E9" s="2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Vlookup 1</vt:lpstr>
      <vt:lpstr>Vlookup 2</vt:lpstr>
      <vt:lpstr>Vlookup 3</vt:lpstr>
      <vt:lpstr>Vlookup 4</vt:lpstr>
      <vt:lpstr>Vlookup 5</vt:lpstr>
      <vt:lpstr>Vlookup 6</vt:lpstr>
      <vt:lpstr>Vlookup 7</vt:lpstr>
      <vt:lpstr>Vlookup 8</vt:lpstr>
      <vt:lpstr>Vlookup 9</vt:lpstr>
      <vt:lpstr>Vlookup 10</vt:lpstr>
      <vt:lpstr>Vlookup 11</vt:lpstr>
      <vt:lpstr>Sheet12</vt:lpstr>
      <vt:lpstr>table1</vt:lpstr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Bunny</cp:lastModifiedBy>
  <dcterms:created xsi:type="dcterms:W3CDTF">2024-10-12T10:44:00Z</dcterms:created>
  <dcterms:modified xsi:type="dcterms:W3CDTF">2026-06-14T14:32:11Z</dcterms:modified>
</cp:coreProperties>
</file>